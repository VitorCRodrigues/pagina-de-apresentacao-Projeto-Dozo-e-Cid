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Corridors" sheetId="4" state="visible" r:id="rId4"/>
    <sheet xmlns:r="http://schemas.openxmlformats.org/officeDocument/2006/relationships" name="Monthly P&amp;L" sheetId="5" state="visible" r:id="rId5"/>
    <sheet xmlns:r="http://schemas.openxmlformats.org/officeDocument/2006/relationships" name="VPN (separate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"/>
    <numFmt numFmtId="166" formatCode="0.0"/>
    <numFmt numFmtId="167" formatCode="$#,##0.00"/>
    <numFmt numFmtId="168" formatCode="0.00&quot;x&quot;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888888"/>
    </font>
    <font>
      <b val="1"/>
      <color rgb="001F3A5F"/>
    </font>
    <font>
      <i val="1"/>
      <color rgb="00888888"/>
      <sz val="9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3C4"/>
      </patternFill>
    </fill>
    <fill>
      <patternFill patternType="solid">
        <fgColor rgb="00E8F5E9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6" fillId="5" borderId="0" applyAlignment="1" pivotButton="0" quotePrefix="0" xfId="0">
      <alignment horizontal="center"/>
    </xf>
    <xf numFmtId="165" fontId="0" fillId="0" borderId="0" pivotButton="0" quotePrefix="0" xfId="0"/>
    <xf numFmtId="165" fontId="0" fillId="4" borderId="0" pivotButton="0" quotePrefix="0" xfId="0"/>
    <xf numFmtId="0" fontId="5" fillId="0" borderId="0" pivotButton="0" quotePrefix="0" xfId="0"/>
    <xf numFmtId="165" fontId="5" fillId="4" borderId="0" pivotButton="0" quotePrefix="0" xfId="0"/>
    <xf numFmtId="164" fontId="5" fillId="0" borderId="0" pivotButton="0" quotePrefix="0" xfId="0"/>
    <xf numFmtId="164" fontId="0" fillId="0" borderId="0" pivotButton="0" quotePrefix="0" xfId="0"/>
    <xf numFmtId="3" fontId="5" fillId="4" borderId="0" pivotButton="0" quotePrefix="0" xfId="0"/>
    <xf numFmtId="1" fontId="5" fillId="4" borderId="0" pivotButton="0" quotePrefix="0" xfId="0"/>
    <xf numFmtId="168" fontId="5" fillId="4" borderId="0" pivotButton="0" quotePrefix="0" xfId="0"/>
    <xf numFmtId="10" fontId="0" fillId="3" borderId="1" pivotButton="0" quotePrefix="0" xfId="0"/>
    <xf numFmtId="0" fontId="4" fillId="0" borderId="0" pivotButton="0" quotePrefix="0" xfId="0"/>
    <xf numFmtId="164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3" fontId="0" fillId="3" borderId="1" pivotButton="0" quotePrefix="0" xfId="0"/>
    <xf numFmtId="167" fontId="0" fillId="0" borderId="0" pivotButton="0" quotePrefix="0" xfId="0"/>
    <xf numFmtId="167" fontId="5" fillId="4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FX Funnel + Investing Engine — Summary Dashboard</t>
        </is>
      </c>
    </row>
    <row r="2">
      <c r="A2" s="2" t="inlineStr">
        <is>
          <t>Outputs (green) are driven by the Assumptions sheet.</t>
        </is>
      </c>
    </row>
    <row r="4">
      <c r="A4" s="3" t="inlineStr">
        <is>
          <t>3-YEAR P&amp;L</t>
        </is>
      </c>
    </row>
    <row r="5">
      <c r="A5" t="inlineStr"/>
      <c r="B5" s="4" t="inlineStr">
        <is>
          <t>Year 1</t>
        </is>
      </c>
      <c r="C5" s="4" t="inlineStr">
        <is>
          <t>Year 2</t>
        </is>
      </c>
      <c r="D5" s="4" t="inlineStr">
        <is>
          <t>Year 3</t>
        </is>
      </c>
    </row>
    <row r="6">
      <c r="A6" t="inlineStr">
        <is>
          <t>FX + card revenue</t>
        </is>
      </c>
      <c r="B6" s="5">
        <f>SUM('Monthly P&amp;L'!D4:D15)+SUM('Monthly P&amp;L'!E4:E15)</f>
        <v/>
      </c>
      <c r="C6" s="5">
        <f>SUM('Monthly P&amp;L'!D16:D27)+SUM('Monthly P&amp;L'!E16:E27)</f>
        <v/>
      </c>
      <c r="D6" s="5">
        <f>SUM('Monthly P&amp;L'!D28:D39)+SUM('Monthly P&amp;L'!E28:E39)</f>
        <v/>
      </c>
    </row>
    <row r="7">
      <c r="A7" t="inlineStr">
        <is>
          <t>Investing revenue</t>
        </is>
      </c>
      <c r="B7" s="6">
        <f>SUM('Monthly P&amp;L'!I4:I15)+SUM('Monthly P&amp;L'!J4:J15)</f>
        <v/>
      </c>
      <c r="C7" s="6">
        <f>SUM('Monthly P&amp;L'!I16:I27)+SUM('Monthly P&amp;L'!J16:J27)</f>
        <v/>
      </c>
      <c r="D7" s="6">
        <f>SUM('Monthly P&amp;L'!I28:I39)+SUM('Monthly P&amp;L'!J28:J39)</f>
        <v/>
      </c>
    </row>
    <row r="8">
      <c r="A8" t="inlineStr">
        <is>
          <t>Total revenue</t>
        </is>
      </c>
      <c r="B8" s="5">
        <f>SUM('Monthly P&amp;L'!K4:K15)</f>
        <v/>
      </c>
      <c r="C8" s="5">
        <f>SUM('Monthly P&amp;L'!K16:K27)</f>
        <v/>
      </c>
      <c r="D8" s="5">
        <f>SUM('Monthly P&amp;L'!K28:K39)</f>
        <v/>
      </c>
    </row>
    <row r="9">
      <c r="A9" t="inlineStr">
        <is>
          <t>Variable cost</t>
        </is>
      </c>
      <c r="B9" s="5">
        <f>SUM('Monthly P&amp;L'!L4:L15)</f>
        <v/>
      </c>
      <c r="C9" s="5">
        <f>SUM('Monthly P&amp;L'!L16:L27)</f>
        <v/>
      </c>
      <c r="D9" s="5">
        <f>SUM('Monthly P&amp;L'!L28:L39)</f>
        <v/>
      </c>
    </row>
    <row r="10">
      <c r="A10" t="inlineStr">
        <is>
          <t>Fixed cost</t>
        </is>
      </c>
      <c r="B10" s="5">
        <f>SUM('Monthly P&amp;L'!M4:M15)</f>
        <v/>
      </c>
      <c r="C10" s="5">
        <f>SUM('Monthly P&amp;L'!M16:M27)</f>
        <v/>
      </c>
      <c r="D10" s="5">
        <f>SUM('Monthly P&amp;L'!M28:M39)</f>
        <v/>
      </c>
    </row>
    <row r="11">
      <c r="A11" s="7" t="inlineStr">
        <is>
          <t>Operating profit</t>
        </is>
      </c>
      <c r="B11" s="8">
        <f>SUM('Monthly P&amp;L'!N4:N15)</f>
        <v/>
      </c>
      <c r="C11" s="8">
        <f>SUM('Monthly P&amp;L'!N16:N27)</f>
        <v/>
      </c>
      <c r="D11" s="8">
        <f>SUM('Monthly P&amp;L'!N28:N39)</f>
        <v/>
      </c>
    </row>
    <row r="12">
      <c r="A12" t="inlineStr">
        <is>
          <t>Investing % of revenue</t>
        </is>
      </c>
      <c r="B12" s="9">
        <f>B7/B8</f>
        <v/>
      </c>
      <c r="C12" s="9">
        <f>C7/C8</f>
        <v/>
      </c>
      <c r="D12" s="9">
        <f>D7/D8</f>
        <v/>
      </c>
    </row>
    <row r="13">
      <c r="A13" t="inlineStr">
        <is>
          <t>Operating margin</t>
        </is>
      </c>
      <c r="B13" s="10">
        <f>B11/B8</f>
        <v/>
      </c>
      <c r="C13" s="10">
        <f>C11/C8</f>
        <v/>
      </c>
      <c r="D13" s="10">
        <f>D11/D8</f>
        <v/>
      </c>
    </row>
    <row r="15">
      <c r="A15" s="3" t="inlineStr">
        <is>
          <t>KEY METRICS</t>
        </is>
      </c>
    </row>
    <row r="16">
      <c r="A16" s="7" t="inlineStr">
        <is>
          <t>Active customers — end of Y1</t>
        </is>
      </c>
      <c r="B16" s="11">
        <f>'Monthly P&amp;L'!C15</f>
        <v/>
      </c>
    </row>
    <row r="17">
      <c r="A17" s="7" t="inlineStr">
        <is>
          <t>Active customers — end of Y3</t>
        </is>
      </c>
      <c r="B17" s="11">
        <f>'Monthly P&amp;L'!C39</f>
        <v/>
      </c>
    </row>
    <row r="18">
      <c r="A18" s="7" t="inlineStr">
        <is>
          <t>Investing clients — end of Y3</t>
        </is>
      </c>
      <c r="B18" s="11">
        <f>'Monthly P&amp;L'!F39</f>
        <v/>
      </c>
    </row>
    <row r="19">
      <c r="A19" s="7" t="inlineStr">
        <is>
          <t>AUM balance — end of Y3</t>
        </is>
      </c>
      <c r="B19" s="8">
        <f>'Monthly P&amp;L'!H39</f>
        <v/>
      </c>
    </row>
    <row r="20">
      <c r="A20" s="7" t="inlineStr">
        <is>
          <t>First profitable month</t>
        </is>
      </c>
      <c r="B20" s="12">
        <f>IFERROR(MATCH(1,'Monthly P&amp;L'!P4:P39,0),"not in 36mo")</f>
        <v/>
      </c>
    </row>
    <row r="21">
      <c r="A21" s="7" t="inlineStr">
        <is>
          <t>Max cumulative burn (capital need)</t>
        </is>
      </c>
      <c r="B21" s="8">
        <f>MIN('Monthly P&amp;L'!O4:O39)</f>
        <v/>
      </c>
    </row>
    <row r="22">
      <c r="A22" s="7" t="inlineStr">
        <is>
          <t>Cumulative cash @ month 36</t>
        </is>
      </c>
      <c r="B22" s="8">
        <f>'Monthly P&amp;L'!O39</f>
        <v/>
      </c>
    </row>
    <row r="23">
      <c r="A23" s="7" t="inlineStr">
        <is>
          <t>FX-only LTV / CAC</t>
        </is>
      </c>
      <c r="B23" s="13">
        <f>'Unit Economics'!B12</f>
        <v/>
      </c>
    </row>
    <row r="24">
      <c r="A24" s="7" t="inlineStr">
        <is>
          <t>Investing LTV vs FX-only</t>
        </is>
      </c>
      <c r="B24" s="13">
        <f>'Unit Economics'!B20</f>
        <v/>
      </c>
    </row>
    <row r="26">
      <c r="A26" s="2" t="inlineStr">
        <is>
          <t>Watch ‘Investing % of revenue’ climb Y1→Y3: that's the funnel→engine thesis working.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34" customWidth="1" min="3" max="3"/>
  </cols>
  <sheetData>
    <row r="1">
      <c r="A1" s="1" t="inlineStr">
        <is>
          <t>FX / Neobank + Investing — Model Assumptions</t>
        </is>
      </c>
    </row>
    <row r="2">
      <c r="A2" s="2" t="inlineStr">
        <is>
          <t>Edit ONLY the yellow cells. Everything else recomputes.</t>
        </is>
      </c>
    </row>
    <row r="4">
      <c r="A4" s="3" t="inlineStr">
        <is>
          <t>FX / REMITTANCE REVENUE (the funnel)</t>
        </is>
      </c>
      <c r="B4" s="3" t="n"/>
      <c r="C4" s="3" t="n"/>
    </row>
    <row r="5">
      <c r="A5" t="inlineStr">
        <is>
          <t>Take rate (visible fee)</t>
        </is>
      </c>
      <c r="B5" s="14" t="n">
        <v>0.01</v>
      </c>
      <c r="C5" s="15" t="inlineStr">
        <is>
          <t>headline ~1%</t>
        </is>
      </c>
    </row>
    <row r="6">
      <c r="A6" t="inlineStr">
        <is>
          <t>FX spread</t>
        </is>
      </c>
      <c r="B6" s="14" t="n">
        <v>0.005</v>
      </c>
      <c r="C6" s="15" t="inlineStr">
        <is>
          <t>hidden margin in the rate</t>
        </is>
      </c>
    </row>
    <row r="7">
      <c r="A7" t="inlineStr">
        <is>
          <t>Card interchange (net to us)</t>
        </is>
      </c>
      <c r="B7" s="14" t="n">
        <v>0.008</v>
      </c>
      <c r="C7" s="15" t="inlineStr">
        <is>
          <t>share of card spend</t>
        </is>
      </c>
    </row>
    <row r="9">
      <c r="A9" s="3" t="inlineStr">
        <is>
          <t>INVESTING / RIA REVENUE (the engine)</t>
        </is>
      </c>
      <c r="B9" s="3" t="n"/>
      <c r="C9" s="3" t="n"/>
    </row>
    <row r="10">
      <c r="A10" t="inlineStr">
        <is>
          <t>% of active custs → managed-acct clients</t>
        </is>
      </c>
      <c r="B10" s="16" t="n">
        <v>0.08</v>
      </c>
      <c r="C10" s="15" t="inlineStr">
        <is>
          <t>FX→investing conversion</t>
        </is>
      </c>
    </row>
    <row r="11">
      <c r="A11" t="inlineStr">
        <is>
          <t>Initial deposit on conversion ($)</t>
        </is>
      </c>
      <c r="B11" s="17" t="n">
        <v>2000</v>
      </c>
      <c r="C11" s="15" t="inlineStr">
        <is>
          <t>seed into US managed acct</t>
        </is>
      </c>
    </row>
    <row r="12">
      <c r="A12" t="inlineStr">
        <is>
          <t>Monthly contribution / investing client ($)</t>
        </is>
      </c>
      <c r="B12" s="17" t="n">
        <v>150</v>
      </c>
      <c r="C12" s="15" t="inlineStr">
        <is>
          <t>retirement-style DCA</t>
        </is>
      </c>
    </row>
    <row r="13">
      <c r="A13" t="inlineStr">
        <is>
          <t>Annual AUM fee</t>
        </is>
      </c>
      <c r="B13" s="14" t="n">
        <v>0.0075</v>
      </c>
      <c r="C13" s="15" t="inlineStr">
        <is>
          <t>0.5–1% typical</t>
        </is>
      </c>
    </row>
    <row r="14">
      <c r="A14" t="inlineStr">
        <is>
          <t>Assumed annual return on AUM</t>
        </is>
      </c>
      <c r="B14" s="16" t="n">
        <v>0.07000000000000001</v>
      </c>
      <c r="C14" s="15" t="inlineStr">
        <is>
          <t>for balance growth only</t>
        </is>
      </c>
    </row>
    <row r="15">
      <c r="A15" t="inlineStr">
        <is>
          <t>Investing client lifetime (years)</t>
        </is>
      </c>
      <c r="B15" s="18" t="n">
        <v>6</v>
      </c>
      <c r="C15" s="15" t="inlineStr">
        <is>
          <t>they churn FAR less than FX users</t>
        </is>
      </c>
    </row>
    <row r="17">
      <c r="A17" s="3" t="inlineStr">
        <is>
          <t>VARIABLE COSTS</t>
        </is>
      </c>
      <c r="B17" s="3" t="n"/>
      <c r="C17" s="3" t="n"/>
    </row>
    <row r="18">
      <c r="A18" t="inlineStr">
        <is>
          <t>On/off-ramp + stablecoin/FX cost</t>
        </is>
      </c>
      <c r="B18" s="14" t="n">
        <v>0.007</v>
      </c>
      <c r="C18" s="15" t="inlineStr">
        <is>
          <t>cross-border leg; applies to FX &amp; inflows</t>
        </is>
      </c>
    </row>
    <row r="19">
      <c r="A19" t="inlineStr">
        <is>
          <t>KYC cost per new customer</t>
        </is>
      </c>
      <c r="B19" s="19" t="n">
        <v>1.5</v>
      </c>
      <c r="C19" s="15" t="inlineStr">
        <is>
          <t>per onboarding check</t>
        </is>
      </c>
    </row>
    <row r="20">
      <c r="A20" t="inlineStr">
        <is>
          <t>Support cost / active cust / mo</t>
        </is>
      </c>
      <c r="B20" s="19" t="n">
        <v>0.5</v>
      </c>
      <c r="C20" s="15" t="inlineStr"/>
    </row>
    <row r="21">
      <c r="A21" t="inlineStr">
        <is>
          <t>CAC per new customer</t>
        </is>
      </c>
      <c r="B21" s="17" t="n">
        <v>25</v>
      </c>
      <c r="C21" s="15" t="inlineStr">
        <is>
          <t>acquisition</t>
        </is>
      </c>
    </row>
    <row r="23">
      <c r="A23" s="3" t="inlineStr">
        <is>
          <t>CUSTOMER BEHAVIOR (FX side)</t>
        </is>
      </c>
      <c r="B23" s="3" t="n"/>
      <c r="C23" s="3" t="n"/>
    </row>
    <row r="24">
      <c r="A24" t="inlineStr">
        <is>
          <t>Avg FX ticket ($)</t>
        </is>
      </c>
      <c r="B24" s="17" t="n">
        <v>800</v>
      </c>
      <c r="C24" s="15" t="inlineStr"/>
    </row>
    <row r="25">
      <c r="A25" t="inlineStr">
        <is>
          <t>FX txns / active cust / mo</t>
        </is>
      </c>
      <c r="B25" s="18" t="n">
        <v>1.5</v>
      </c>
      <c r="C25" s="15" t="inlineStr"/>
    </row>
    <row r="26">
      <c r="A26" t="inlineStr">
        <is>
          <t>Card spend / active cust / mo ($)</t>
        </is>
      </c>
      <c r="B26" s="17" t="n">
        <v>300</v>
      </c>
      <c r="C26" s="15" t="inlineStr"/>
    </row>
    <row r="27">
      <c r="A27" t="inlineStr">
        <is>
          <t>Monthly churn (FX cust)</t>
        </is>
      </c>
      <c r="B27" s="16" t="n">
        <v>0.04</v>
      </c>
      <c r="C27" s="15" t="inlineStr">
        <is>
          <t>investing clients churn far less</t>
        </is>
      </c>
    </row>
    <row r="29">
      <c r="A29" s="3" t="inlineStr">
        <is>
          <t>GROWTH</t>
        </is>
      </c>
      <c r="B29" s="3" t="n"/>
      <c r="C29" s="3" t="n"/>
    </row>
    <row r="30">
      <c r="A30" t="inlineStr">
        <is>
          <t>New customers — month 1</t>
        </is>
      </c>
      <c r="B30" s="20" t="n">
        <v>100</v>
      </c>
      <c r="C30" s="15" t="inlineStr"/>
    </row>
    <row r="31">
      <c r="A31" t="inlineStr">
        <is>
          <t>MoM growth in new customers</t>
        </is>
      </c>
      <c r="B31" s="16" t="n">
        <v>0.1</v>
      </c>
      <c r="C31" s="15" t="inlineStr"/>
    </row>
    <row r="33">
      <c r="A33" s="3" t="inlineStr">
        <is>
          <t>FIXED ANNUAL COSTS</t>
        </is>
      </c>
      <c r="B33" s="3" t="n"/>
      <c r="C33" s="3" t="n"/>
    </row>
    <row r="34">
      <c r="A34" t="inlineStr">
        <is>
          <t>BSA/AML officer + compliance tooling</t>
        </is>
      </c>
      <c r="B34" s="17" t="n">
        <v>90000</v>
      </c>
      <c r="C34" s="15" t="inlineStr">
        <is>
          <t>hire #1</t>
        </is>
      </c>
    </row>
    <row r="35">
      <c r="A35" t="inlineStr">
        <is>
          <t>RIA / investing compliance + custodian</t>
        </is>
      </c>
      <c r="B35" s="17" t="n">
        <v>60000</v>
      </c>
      <c r="C35" s="15" t="inlineStr">
        <is>
          <t>CCO, RIA, custody integration</t>
        </is>
      </c>
    </row>
    <row r="36">
      <c r="A36" t="inlineStr">
        <is>
          <t>Legal / regulatory ongoing</t>
        </is>
      </c>
      <c r="B36" s="17" t="n">
        <v>40000</v>
      </c>
      <c r="C36" s="15" t="inlineStr"/>
    </row>
    <row r="37">
      <c r="A37" t="inlineStr">
        <is>
          <t>Engineering / product</t>
        </is>
      </c>
      <c r="B37" s="17" t="n">
        <v>120000</v>
      </c>
      <c r="C37" s="15" t="inlineStr"/>
    </row>
    <row r="38">
      <c r="A38" t="inlineStr">
        <is>
          <t>Substance (local staff/office in op jx)</t>
        </is>
      </c>
      <c r="B38" s="17" t="n">
        <v>60000</v>
      </c>
      <c r="C38" s="15" t="inlineStr">
        <is>
          <t>PR needs 8 staff!</t>
        </is>
      </c>
    </row>
    <row r="39">
      <c r="A39" t="inlineStr">
        <is>
          <t>Other G&amp;A</t>
        </is>
      </c>
      <c r="B39" s="17" t="n">
        <v>30000</v>
      </c>
      <c r="C39" s="15" t="inlineStr"/>
    </row>
    <row r="40">
      <c r="A40" s="7" t="inlineStr">
        <is>
          <t>TOTAL FIXED / YEAR</t>
        </is>
      </c>
      <c r="B40" s="8">
        <f>SUM(B34:B39)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s="1" t="inlineStr">
        <is>
          <t>Unit Economics — FX customer vs Investing client</t>
        </is>
      </c>
    </row>
    <row r="3">
      <c r="A3" s="3" t="inlineStr">
        <is>
          <t>FX / REMITTANCE CUSTOMER</t>
        </is>
      </c>
    </row>
    <row r="4">
      <c r="A4" t="inlineStr">
        <is>
          <t>FX revenue / cust / mo</t>
        </is>
      </c>
      <c r="B4" s="21">
        <f>Assumptions!$B$24*Assumptions!$B$25*(Assumptions!$B$5+Assumptions!$B$6)</f>
        <v/>
      </c>
    </row>
    <row r="5">
      <c r="A5" t="inlineStr">
        <is>
          <t>Card revenue / cust / mo</t>
        </is>
      </c>
      <c r="B5" s="21">
        <f>Assumptions!$B$26*Assumptions!$B$7</f>
        <v/>
      </c>
    </row>
    <row r="6">
      <c r="A6" s="7" t="inlineStr">
        <is>
          <t>ARPU / cust / mo</t>
        </is>
      </c>
      <c r="B6" s="22">
        <f>B4+B5</f>
        <v/>
      </c>
    </row>
    <row r="7">
      <c r="A7" t="inlineStr">
        <is>
          <t>Variable cost / cust / mo</t>
        </is>
      </c>
      <c r="B7" s="21">
        <f>Assumptions!$B$24*Assumptions!$B$25*Assumptions!$B$18+Assumptions!$B$20</f>
        <v/>
      </c>
    </row>
    <row r="8">
      <c r="A8" s="7" t="inlineStr">
        <is>
          <t>Gross profit / cust / mo</t>
        </is>
      </c>
      <c r="B8" s="22">
        <f>B6-B7</f>
        <v/>
      </c>
    </row>
    <row r="9">
      <c r="A9" t="inlineStr">
        <is>
          <t>Acquisition cost (CAC+KYC)</t>
        </is>
      </c>
      <c r="B9" s="21">
        <f>Assumptions!$B$21+Assumptions!$B$19</f>
        <v/>
      </c>
    </row>
    <row r="10">
      <c r="A10" t="inlineStr">
        <is>
          <t>Avg lifetime (mo)</t>
        </is>
      </c>
      <c r="B10" s="23">
        <f>1/Assumptions!$B$27</f>
        <v/>
      </c>
    </row>
    <row r="11">
      <c r="A11" s="7" t="inlineStr">
        <is>
          <t>LTV (FX-only)</t>
        </is>
      </c>
      <c r="B11" s="22">
        <f>B8/Assumptions!$B$27</f>
        <v/>
      </c>
    </row>
    <row r="12">
      <c r="A12" s="7" t="inlineStr">
        <is>
          <t>LTV / CAC (FX-only)</t>
        </is>
      </c>
      <c r="B12" s="13">
        <f>B11/B9</f>
        <v/>
      </c>
    </row>
    <row r="13">
      <c r="A13" t="inlineStr">
        <is>
          <t>CAC payback (months)</t>
        </is>
      </c>
      <c r="B13" s="23">
        <f>B9/B8</f>
        <v/>
      </c>
    </row>
    <row r="15">
      <c r="A15" s="3" t="inlineStr">
        <is>
          <t>INVESTING CLIENT (the engine)</t>
        </is>
      </c>
    </row>
    <row r="16">
      <c r="A16" t="inlineStr">
        <is>
          <t>Avg AUM balance over client life</t>
        </is>
      </c>
      <c r="B16" s="21">
        <f>Assumptions!$B$11+(Assumptions!$B$12*12*Assumptions!$B$15)/2</f>
        <v/>
      </c>
    </row>
    <row r="17">
      <c r="A17" t="inlineStr">
        <is>
          <t>AUM fee / yr (at avg balance)</t>
        </is>
      </c>
      <c r="B17" s="21">
        <f>B16*Assumptions!$B$13</f>
        <v/>
      </c>
    </row>
    <row r="18">
      <c r="A18" t="inlineStr">
        <is>
          <t>Contribution FX margin / yr</t>
        </is>
      </c>
      <c r="B18" s="21">
        <f>12*Assumptions!$B$12*(Assumptions!$B$5+Assumptions!$B$6-Assumptions!$B$18)</f>
        <v/>
      </c>
    </row>
    <row r="19">
      <c r="A19" s="7" t="inlineStr">
        <is>
          <t>Investing client LTV (over lifetime)</t>
        </is>
      </c>
      <c r="B19" s="22">
        <f>(B17+B18)*Assumptions!$B$15</f>
        <v/>
      </c>
    </row>
    <row r="20">
      <c r="A20" s="7" t="inlineStr">
        <is>
          <t>Investing LTV vs FX-only LTV</t>
        </is>
      </c>
      <c r="B20" s="13">
        <f>B19/B11</f>
        <v/>
      </c>
    </row>
    <row r="22">
      <c r="A22" s="2" t="inlineStr">
        <is>
          <t>LTV understates investing: AUM compounds with contributions + market return.</t>
        </is>
      </c>
    </row>
    <row r="23">
      <c r="A23" s="2" t="inlineStr">
        <is>
          <t>The point: an investing client is worth a multiple of an FX-only one — that's the thesis.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Corridor Competitiveness — you compete vs GOVERNMENT TAX</t>
        </is>
      </c>
    </row>
    <row r="2">
      <c r="A2" s="2" t="inlineStr">
        <is>
          <t>‘Our all-in’ = gov tax + our spread + our fee. Yellow = editable.</t>
        </is>
      </c>
    </row>
    <row r="4">
      <c r="A4" s="4" t="inlineStr">
        <is>
          <t>Corridor / lane</t>
        </is>
      </c>
      <c r="B4" s="4" t="inlineStr">
        <is>
          <t>Gov tax</t>
        </is>
      </c>
      <c r="C4" s="4" t="inlineStr">
        <is>
          <t>Our spread+fee</t>
        </is>
      </c>
      <c r="D4" s="4" t="inlineStr">
        <is>
          <t>Our all-in</t>
        </is>
      </c>
      <c r="E4" s="4" t="inlineStr">
        <is>
          <t>Incumbent all-in</t>
        </is>
      </c>
      <c r="F4" s="4" t="inlineStr">
        <is>
          <t>Customer saving (pp)</t>
        </is>
      </c>
      <c r="G4" s="4" t="inlineStr">
        <is>
          <t>Win?</t>
        </is>
      </c>
    </row>
    <row r="5">
      <c r="A5" t="inlineStr">
        <is>
          <t>Brazil — investment abroad (1.10% IOF) ← our lane</t>
        </is>
      </c>
      <c r="B5" s="14" t="n">
        <v>0.011</v>
      </c>
      <c r="C5" s="24">
        <f>Assumptions!$B$5+Assumptions!$B$6</f>
        <v/>
      </c>
      <c r="D5" s="24">
        <f>B5+C5</f>
        <v/>
      </c>
      <c r="E5" s="14" t="n">
        <v>0.03</v>
      </c>
      <c r="F5" s="24">
        <f>E5-D5</f>
        <v/>
      </c>
      <c r="G5" s="25">
        <f>IF(F5&gt;=0.01,"YES","weak")</f>
        <v/>
      </c>
    </row>
    <row r="6">
      <c r="A6" t="inlineStr">
        <is>
          <t>Brazil — cash/card FX abroad</t>
        </is>
      </c>
      <c r="B6" s="14" t="n">
        <v>0.035</v>
      </c>
      <c r="C6" s="24">
        <f>Assumptions!$B$5+Assumptions!$B$6</f>
        <v/>
      </c>
      <c r="D6" s="24">
        <f>B6+C6</f>
        <v/>
      </c>
      <c r="E6" s="14" t="n">
        <v>0.065</v>
      </c>
      <c r="F6" s="24">
        <f>E6-D6</f>
        <v/>
      </c>
      <c r="G6" s="25">
        <f>IF(F6&gt;=0.01,"YES","weak")</f>
        <v/>
      </c>
    </row>
    <row r="7">
      <c r="A7" t="inlineStr">
        <is>
          <t>Into Brazil — diff-owner remittance</t>
        </is>
      </c>
      <c r="B7" s="14" t="n">
        <v>0.0038</v>
      </c>
      <c r="C7" s="24">
        <f>Assumptions!$B$5+Assumptions!$B$6</f>
        <v/>
      </c>
      <c r="D7" s="24">
        <f>B7+C7</f>
        <v/>
      </c>
      <c r="E7" s="14" t="n">
        <v>0.06</v>
      </c>
      <c r="F7" s="24">
        <f>E7-D7</f>
        <v/>
      </c>
      <c r="G7" s="25">
        <f>IF(F7&gt;=0.01,"YES","weak")</f>
        <v/>
      </c>
    </row>
    <row r="8">
      <c r="A8" t="inlineStr">
        <is>
          <t>Argentina — individual USD</t>
        </is>
      </c>
      <c r="B8" s="14" t="n">
        <v>0</v>
      </c>
      <c r="C8" s="24">
        <f>Assumptions!$B$5+Assumptions!$B$6</f>
        <v/>
      </c>
      <c r="D8" s="24">
        <f>B8+C8</f>
        <v/>
      </c>
      <c r="E8" s="14" t="n">
        <v>0.03</v>
      </c>
      <c r="F8" s="24">
        <f>E8-D8</f>
        <v/>
      </c>
      <c r="G8" s="25">
        <f>IF(F8&gt;=0.01,"YES","weak")</f>
        <v/>
      </c>
    </row>
    <row r="9">
      <c r="A9" t="inlineStr">
        <is>
          <t>US → Mexico remittance</t>
        </is>
      </c>
      <c r="B9" s="14" t="n">
        <v>0</v>
      </c>
      <c r="C9" s="24">
        <f>Assumptions!$B$5+Assumptions!$B$6</f>
        <v/>
      </c>
      <c r="D9" s="24">
        <f>B9+C9</f>
        <v/>
      </c>
      <c r="E9" s="14" t="n">
        <v>0.045</v>
      </c>
      <c r="F9" s="24">
        <f>E9-D9</f>
        <v/>
      </c>
      <c r="G9" s="25">
        <f>IF(F9&gt;=0.01,"YES","weak")</f>
        <v/>
      </c>
    </row>
    <row r="10">
      <c r="A10" t="inlineStr">
        <is>
          <t>EU/Asia → LatAm inbound</t>
        </is>
      </c>
      <c r="B10" s="14" t="n">
        <v>0</v>
      </c>
      <c r="C10" s="24">
        <f>Assumptions!$B$5+Assumptions!$B$6</f>
        <v/>
      </c>
      <c r="D10" s="24">
        <f>B10+C10</f>
        <v/>
      </c>
      <c r="E10" s="14" t="n">
        <v>0.05</v>
      </c>
      <c r="F10" s="24">
        <f>E10-D10</f>
        <v/>
      </c>
      <c r="G10" s="25">
        <f>IF(F10&gt;=0.01,"YES","weak")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Monthly P&amp;L — 36 months (FX funnel + investing engine)</t>
        </is>
      </c>
    </row>
    <row r="3">
      <c r="A3" s="4" t="inlineStr">
        <is>
          <t>Month</t>
        </is>
      </c>
      <c r="B3" s="4" t="inlineStr">
        <is>
          <t>New cust</t>
        </is>
      </c>
      <c r="C3" s="4" t="inlineStr">
        <is>
          <t>Active cust</t>
        </is>
      </c>
      <c r="D3" s="4" t="inlineStr">
        <is>
          <t>FX rev</t>
        </is>
      </c>
      <c r="E3" s="4" t="inlineStr">
        <is>
          <t>Card rev</t>
        </is>
      </c>
      <c r="F3" s="4" t="inlineStr">
        <is>
          <t>Inv clients</t>
        </is>
      </c>
      <c r="G3" s="4" t="inlineStr">
        <is>
          <t>AUM inflow</t>
        </is>
      </c>
      <c r="H3" s="4" t="inlineStr">
        <is>
          <t>AUM balance</t>
        </is>
      </c>
      <c r="I3" s="4" t="inlineStr">
        <is>
          <t>AUM rev</t>
        </is>
      </c>
      <c r="J3" s="4" t="inlineStr">
        <is>
          <t>Inflow FX rev</t>
        </is>
      </c>
      <c r="K3" s="4" t="inlineStr">
        <is>
          <t>Total rev</t>
        </is>
      </c>
      <c r="L3" s="4" t="inlineStr">
        <is>
          <t>Variable cost</t>
        </is>
      </c>
      <c r="M3" s="4" t="inlineStr">
        <is>
          <t>Fixed</t>
        </is>
      </c>
      <c r="N3" s="4" t="inlineStr">
        <is>
          <t>Op profit</t>
        </is>
      </c>
      <c r="O3" s="4" t="inlineStr">
        <is>
          <t>Cumulative</t>
        </is>
      </c>
      <c r="P3" s="4" t="inlineStr">
        <is>
          <t>Profit?</t>
        </is>
      </c>
    </row>
    <row r="4">
      <c r="A4" t="n">
        <v>1</v>
      </c>
      <c r="B4" s="26">
        <f>Assumptions!$B$30</f>
        <v/>
      </c>
      <c r="C4" s="26">
        <f>B4</f>
        <v/>
      </c>
      <c r="D4" s="5">
        <f>C4*Assumptions!$B$24*Assumptions!$B$25*(Assumptions!$B$5+Assumptions!$B$6)</f>
        <v/>
      </c>
      <c r="E4" s="5">
        <f>C4*Assumptions!$B$26*Assumptions!$B$7</f>
        <v/>
      </c>
      <c r="F4" s="26">
        <f>C4*Assumptions!$B$10</f>
        <v/>
      </c>
      <c r="G4" s="5">
        <f>F4*Assumptions!$B$11+F4*Assumptions!$B$12</f>
        <v/>
      </c>
      <c r="H4" s="5">
        <f>G4</f>
        <v/>
      </c>
      <c r="I4" s="5">
        <f>H4*Assumptions!$B$13/12</f>
        <v/>
      </c>
      <c r="J4" s="5">
        <f>G4*(Assumptions!$B$5+Assumptions!$B$6)</f>
        <v/>
      </c>
      <c r="K4" s="5">
        <f>D4+E4+I4+J4</f>
        <v/>
      </c>
      <c r="L4" s="5">
        <f>C4*(Assumptions!$B$24*Assumptions!$B$25*Assumptions!$B$18+Assumptions!$B$20)+B4*(Assumptions!$B$21+Assumptions!$B$19)+G4*Assumptions!$B$18</f>
        <v/>
      </c>
      <c r="M4" s="5">
        <f>Assumptions!$B$40/12</f>
        <v/>
      </c>
      <c r="N4" s="5">
        <f>K4-L4-M4</f>
        <v/>
      </c>
      <c r="O4" s="5">
        <f>N4</f>
        <v/>
      </c>
      <c r="P4" s="27">
        <f>IF(N4&gt;0,1,0)</f>
        <v/>
      </c>
    </row>
    <row r="5">
      <c r="A5" t="n">
        <v>2</v>
      </c>
      <c r="B5" s="26">
        <f>B4*(1+Assumptions!$B$31)</f>
        <v/>
      </c>
      <c r="C5" s="26">
        <f>C4*(1-Assumptions!$B$27)+B5</f>
        <v/>
      </c>
      <c r="D5" s="5">
        <f>C5*Assumptions!$B$24*Assumptions!$B$25*(Assumptions!$B$5+Assumptions!$B$6)</f>
        <v/>
      </c>
      <c r="E5" s="5">
        <f>C5*Assumptions!$B$26*Assumptions!$B$7</f>
        <v/>
      </c>
      <c r="F5" s="26">
        <f>C5*Assumptions!$B$10</f>
        <v/>
      </c>
      <c r="G5" s="5">
        <f>MAX(F5-F4,0)*Assumptions!$B$11+F5*Assumptions!$B$12</f>
        <v/>
      </c>
      <c r="H5" s="5">
        <f>H4*(1+Assumptions!$B$14/12)+G5</f>
        <v/>
      </c>
      <c r="I5" s="5">
        <f>H5*Assumptions!$B$13/12</f>
        <v/>
      </c>
      <c r="J5" s="5">
        <f>G5*(Assumptions!$B$5+Assumptions!$B$6)</f>
        <v/>
      </c>
      <c r="K5" s="5">
        <f>D5+E5+I5+J5</f>
        <v/>
      </c>
      <c r="L5" s="5">
        <f>C5*(Assumptions!$B$24*Assumptions!$B$25*Assumptions!$B$18+Assumptions!$B$20)+B5*(Assumptions!$B$21+Assumptions!$B$19)+G5*Assumptions!$B$18</f>
        <v/>
      </c>
      <c r="M5" s="5">
        <f>Assumptions!$B$40/12</f>
        <v/>
      </c>
      <c r="N5" s="5">
        <f>K5-L5-M5</f>
        <v/>
      </c>
      <c r="O5" s="5">
        <f>O4+N5</f>
        <v/>
      </c>
      <c r="P5" s="27">
        <f>IF(N5&gt;0,1,0)</f>
        <v/>
      </c>
    </row>
    <row r="6">
      <c r="A6" t="n">
        <v>3</v>
      </c>
      <c r="B6" s="26">
        <f>B5*(1+Assumptions!$B$31)</f>
        <v/>
      </c>
      <c r="C6" s="26">
        <f>C5*(1-Assumptions!$B$27)+B6</f>
        <v/>
      </c>
      <c r="D6" s="5">
        <f>C6*Assumptions!$B$24*Assumptions!$B$25*(Assumptions!$B$5+Assumptions!$B$6)</f>
        <v/>
      </c>
      <c r="E6" s="5">
        <f>C6*Assumptions!$B$26*Assumptions!$B$7</f>
        <v/>
      </c>
      <c r="F6" s="26">
        <f>C6*Assumptions!$B$10</f>
        <v/>
      </c>
      <c r="G6" s="5">
        <f>MAX(F6-F5,0)*Assumptions!$B$11+F6*Assumptions!$B$12</f>
        <v/>
      </c>
      <c r="H6" s="5">
        <f>H5*(1+Assumptions!$B$14/12)+G6</f>
        <v/>
      </c>
      <c r="I6" s="5">
        <f>H6*Assumptions!$B$13/12</f>
        <v/>
      </c>
      <c r="J6" s="5">
        <f>G6*(Assumptions!$B$5+Assumptions!$B$6)</f>
        <v/>
      </c>
      <c r="K6" s="5">
        <f>D6+E6+I6+J6</f>
        <v/>
      </c>
      <c r="L6" s="5">
        <f>C6*(Assumptions!$B$24*Assumptions!$B$25*Assumptions!$B$18+Assumptions!$B$20)+B6*(Assumptions!$B$21+Assumptions!$B$19)+G6*Assumptions!$B$18</f>
        <v/>
      </c>
      <c r="M6" s="5">
        <f>Assumptions!$B$40/12</f>
        <v/>
      </c>
      <c r="N6" s="5">
        <f>K6-L6-M6</f>
        <v/>
      </c>
      <c r="O6" s="5">
        <f>O5+N6</f>
        <v/>
      </c>
      <c r="P6" s="27">
        <f>IF(N6&gt;0,1,0)</f>
        <v/>
      </c>
    </row>
    <row r="7">
      <c r="A7" t="n">
        <v>4</v>
      </c>
      <c r="B7" s="26">
        <f>B6*(1+Assumptions!$B$31)</f>
        <v/>
      </c>
      <c r="C7" s="26">
        <f>C6*(1-Assumptions!$B$27)+B7</f>
        <v/>
      </c>
      <c r="D7" s="5">
        <f>C7*Assumptions!$B$24*Assumptions!$B$25*(Assumptions!$B$5+Assumptions!$B$6)</f>
        <v/>
      </c>
      <c r="E7" s="5">
        <f>C7*Assumptions!$B$26*Assumptions!$B$7</f>
        <v/>
      </c>
      <c r="F7" s="26">
        <f>C7*Assumptions!$B$10</f>
        <v/>
      </c>
      <c r="G7" s="5">
        <f>MAX(F7-F6,0)*Assumptions!$B$11+F7*Assumptions!$B$12</f>
        <v/>
      </c>
      <c r="H7" s="5">
        <f>H6*(1+Assumptions!$B$14/12)+G7</f>
        <v/>
      </c>
      <c r="I7" s="5">
        <f>H7*Assumptions!$B$13/12</f>
        <v/>
      </c>
      <c r="J7" s="5">
        <f>G7*(Assumptions!$B$5+Assumptions!$B$6)</f>
        <v/>
      </c>
      <c r="K7" s="5">
        <f>D7+E7+I7+J7</f>
        <v/>
      </c>
      <c r="L7" s="5">
        <f>C7*(Assumptions!$B$24*Assumptions!$B$25*Assumptions!$B$18+Assumptions!$B$20)+B7*(Assumptions!$B$21+Assumptions!$B$19)+G7*Assumptions!$B$18</f>
        <v/>
      </c>
      <c r="M7" s="5">
        <f>Assumptions!$B$40/12</f>
        <v/>
      </c>
      <c r="N7" s="5">
        <f>K7-L7-M7</f>
        <v/>
      </c>
      <c r="O7" s="5">
        <f>O6+N7</f>
        <v/>
      </c>
      <c r="P7" s="27">
        <f>IF(N7&gt;0,1,0)</f>
        <v/>
      </c>
    </row>
    <row r="8">
      <c r="A8" t="n">
        <v>5</v>
      </c>
      <c r="B8" s="26">
        <f>B7*(1+Assumptions!$B$31)</f>
        <v/>
      </c>
      <c r="C8" s="26">
        <f>C7*(1-Assumptions!$B$27)+B8</f>
        <v/>
      </c>
      <c r="D8" s="5">
        <f>C8*Assumptions!$B$24*Assumptions!$B$25*(Assumptions!$B$5+Assumptions!$B$6)</f>
        <v/>
      </c>
      <c r="E8" s="5">
        <f>C8*Assumptions!$B$26*Assumptions!$B$7</f>
        <v/>
      </c>
      <c r="F8" s="26">
        <f>C8*Assumptions!$B$10</f>
        <v/>
      </c>
      <c r="G8" s="5">
        <f>MAX(F8-F7,0)*Assumptions!$B$11+F8*Assumptions!$B$12</f>
        <v/>
      </c>
      <c r="H8" s="5">
        <f>H7*(1+Assumptions!$B$14/12)+G8</f>
        <v/>
      </c>
      <c r="I8" s="5">
        <f>H8*Assumptions!$B$13/12</f>
        <v/>
      </c>
      <c r="J8" s="5">
        <f>G8*(Assumptions!$B$5+Assumptions!$B$6)</f>
        <v/>
      </c>
      <c r="K8" s="5">
        <f>D8+E8+I8+J8</f>
        <v/>
      </c>
      <c r="L8" s="5">
        <f>C8*(Assumptions!$B$24*Assumptions!$B$25*Assumptions!$B$18+Assumptions!$B$20)+B8*(Assumptions!$B$21+Assumptions!$B$19)+G8*Assumptions!$B$18</f>
        <v/>
      </c>
      <c r="M8" s="5">
        <f>Assumptions!$B$40/12</f>
        <v/>
      </c>
      <c r="N8" s="5">
        <f>K8-L8-M8</f>
        <v/>
      </c>
      <c r="O8" s="5">
        <f>O7+N8</f>
        <v/>
      </c>
      <c r="P8" s="27">
        <f>IF(N8&gt;0,1,0)</f>
        <v/>
      </c>
    </row>
    <row r="9">
      <c r="A9" t="n">
        <v>6</v>
      </c>
      <c r="B9" s="26">
        <f>B8*(1+Assumptions!$B$31)</f>
        <v/>
      </c>
      <c r="C9" s="26">
        <f>C8*(1-Assumptions!$B$27)+B9</f>
        <v/>
      </c>
      <c r="D9" s="5">
        <f>C9*Assumptions!$B$24*Assumptions!$B$25*(Assumptions!$B$5+Assumptions!$B$6)</f>
        <v/>
      </c>
      <c r="E9" s="5">
        <f>C9*Assumptions!$B$26*Assumptions!$B$7</f>
        <v/>
      </c>
      <c r="F9" s="26">
        <f>C9*Assumptions!$B$10</f>
        <v/>
      </c>
      <c r="G9" s="5">
        <f>MAX(F9-F8,0)*Assumptions!$B$11+F9*Assumptions!$B$12</f>
        <v/>
      </c>
      <c r="H9" s="5">
        <f>H8*(1+Assumptions!$B$14/12)+G9</f>
        <v/>
      </c>
      <c r="I9" s="5">
        <f>H9*Assumptions!$B$13/12</f>
        <v/>
      </c>
      <c r="J9" s="5">
        <f>G9*(Assumptions!$B$5+Assumptions!$B$6)</f>
        <v/>
      </c>
      <c r="K9" s="5">
        <f>D9+E9+I9+J9</f>
        <v/>
      </c>
      <c r="L9" s="5">
        <f>C9*(Assumptions!$B$24*Assumptions!$B$25*Assumptions!$B$18+Assumptions!$B$20)+B9*(Assumptions!$B$21+Assumptions!$B$19)+G9*Assumptions!$B$18</f>
        <v/>
      </c>
      <c r="M9" s="5">
        <f>Assumptions!$B$40/12</f>
        <v/>
      </c>
      <c r="N9" s="5">
        <f>K9-L9-M9</f>
        <v/>
      </c>
      <c r="O9" s="5">
        <f>O8+N9</f>
        <v/>
      </c>
      <c r="P9" s="27">
        <f>IF(N9&gt;0,1,0)</f>
        <v/>
      </c>
    </row>
    <row r="10">
      <c r="A10" t="n">
        <v>7</v>
      </c>
      <c r="B10" s="26">
        <f>B9*(1+Assumptions!$B$31)</f>
        <v/>
      </c>
      <c r="C10" s="26">
        <f>C9*(1-Assumptions!$B$27)+B10</f>
        <v/>
      </c>
      <c r="D10" s="5">
        <f>C10*Assumptions!$B$24*Assumptions!$B$25*(Assumptions!$B$5+Assumptions!$B$6)</f>
        <v/>
      </c>
      <c r="E10" s="5">
        <f>C10*Assumptions!$B$26*Assumptions!$B$7</f>
        <v/>
      </c>
      <c r="F10" s="26">
        <f>C10*Assumptions!$B$10</f>
        <v/>
      </c>
      <c r="G10" s="5">
        <f>MAX(F10-F9,0)*Assumptions!$B$11+F10*Assumptions!$B$12</f>
        <v/>
      </c>
      <c r="H10" s="5">
        <f>H9*(1+Assumptions!$B$14/12)+G10</f>
        <v/>
      </c>
      <c r="I10" s="5">
        <f>H10*Assumptions!$B$13/12</f>
        <v/>
      </c>
      <c r="J10" s="5">
        <f>G10*(Assumptions!$B$5+Assumptions!$B$6)</f>
        <v/>
      </c>
      <c r="K10" s="5">
        <f>D10+E10+I10+J10</f>
        <v/>
      </c>
      <c r="L10" s="5">
        <f>C10*(Assumptions!$B$24*Assumptions!$B$25*Assumptions!$B$18+Assumptions!$B$20)+B10*(Assumptions!$B$21+Assumptions!$B$19)+G10*Assumptions!$B$18</f>
        <v/>
      </c>
      <c r="M10" s="5">
        <f>Assumptions!$B$40/12</f>
        <v/>
      </c>
      <c r="N10" s="5">
        <f>K10-L10-M10</f>
        <v/>
      </c>
      <c r="O10" s="5">
        <f>O9+N10</f>
        <v/>
      </c>
      <c r="P10" s="27">
        <f>IF(N10&gt;0,1,0)</f>
        <v/>
      </c>
    </row>
    <row r="11">
      <c r="A11" t="n">
        <v>8</v>
      </c>
      <c r="B11" s="26">
        <f>B10*(1+Assumptions!$B$31)</f>
        <v/>
      </c>
      <c r="C11" s="26">
        <f>C10*(1-Assumptions!$B$27)+B11</f>
        <v/>
      </c>
      <c r="D11" s="5">
        <f>C11*Assumptions!$B$24*Assumptions!$B$25*(Assumptions!$B$5+Assumptions!$B$6)</f>
        <v/>
      </c>
      <c r="E11" s="5">
        <f>C11*Assumptions!$B$26*Assumptions!$B$7</f>
        <v/>
      </c>
      <c r="F11" s="26">
        <f>C11*Assumptions!$B$10</f>
        <v/>
      </c>
      <c r="G11" s="5">
        <f>MAX(F11-F10,0)*Assumptions!$B$11+F11*Assumptions!$B$12</f>
        <v/>
      </c>
      <c r="H11" s="5">
        <f>H10*(1+Assumptions!$B$14/12)+G11</f>
        <v/>
      </c>
      <c r="I11" s="5">
        <f>H11*Assumptions!$B$13/12</f>
        <v/>
      </c>
      <c r="J11" s="5">
        <f>G11*(Assumptions!$B$5+Assumptions!$B$6)</f>
        <v/>
      </c>
      <c r="K11" s="5">
        <f>D11+E11+I11+J11</f>
        <v/>
      </c>
      <c r="L11" s="5">
        <f>C11*(Assumptions!$B$24*Assumptions!$B$25*Assumptions!$B$18+Assumptions!$B$20)+B11*(Assumptions!$B$21+Assumptions!$B$19)+G11*Assumptions!$B$18</f>
        <v/>
      </c>
      <c r="M11" s="5">
        <f>Assumptions!$B$40/12</f>
        <v/>
      </c>
      <c r="N11" s="5">
        <f>K11-L11-M11</f>
        <v/>
      </c>
      <c r="O11" s="5">
        <f>O10+N11</f>
        <v/>
      </c>
      <c r="P11" s="27">
        <f>IF(N11&gt;0,1,0)</f>
        <v/>
      </c>
    </row>
    <row r="12">
      <c r="A12" t="n">
        <v>9</v>
      </c>
      <c r="B12" s="26">
        <f>B11*(1+Assumptions!$B$31)</f>
        <v/>
      </c>
      <c r="C12" s="26">
        <f>C11*(1-Assumptions!$B$27)+B12</f>
        <v/>
      </c>
      <c r="D12" s="5">
        <f>C12*Assumptions!$B$24*Assumptions!$B$25*(Assumptions!$B$5+Assumptions!$B$6)</f>
        <v/>
      </c>
      <c r="E12" s="5">
        <f>C12*Assumptions!$B$26*Assumptions!$B$7</f>
        <v/>
      </c>
      <c r="F12" s="26">
        <f>C12*Assumptions!$B$10</f>
        <v/>
      </c>
      <c r="G12" s="5">
        <f>MAX(F12-F11,0)*Assumptions!$B$11+F12*Assumptions!$B$12</f>
        <v/>
      </c>
      <c r="H12" s="5">
        <f>H11*(1+Assumptions!$B$14/12)+G12</f>
        <v/>
      </c>
      <c r="I12" s="5">
        <f>H12*Assumptions!$B$13/12</f>
        <v/>
      </c>
      <c r="J12" s="5">
        <f>G12*(Assumptions!$B$5+Assumptions!$B$6)</f>
        <v/>
      </c>
      <c r="K12" s="5">
        <f>D12+E12+I12+J12</f>
        <v/>
      </c>
      <c r="L12" s="5">
        <f>C12*(Assumptions!$B$24*Assumptions!$B$25*Assumptions!$B$18+Assumptions!$B$20)+B12*(Assumptions!$B$21+Assumptions!$B$19)+G12*Assumptions!$B$18</f>
        <v/>
      </c>
      <c r="M12" s="5">
        <f>Assumptions!$B$40/12</f>
        <v/>
      </c>
      <c r="N12" s="5">
        <f>K12-L12-M12</f>
        <v/>
      </c>
      <c r="O12" s="5">
        <f>O11+N12</f>
        <v/>
      </c>
      <c r="P12" s="27">
        <f>IF(N12&gt;0,1,0)</f>
        <v/>
      </c>
    </row>
    <row r="13">
      <c r="A13" t="n">
        <v>10</v>
      </c>
      <c r="B13" s="26">
        <f>B12*(1+Assumptions!$B$31)</f>
        <v/>
      </c>
      <c r="C13" s="26">
        <f>C12*(1-Assumptions!$B$27)+B13</f>
        <v/>
      </c>
      <c r="D13" s="5">
        <f>C13*Assumptions!$B$24*Assumptions!$B$25*(Assumptions!$B$5+Assumptions!$B$6)</f>
        <v/>
      </c>
      <c r="E13" s="5">
        <f>C13*Assumptions!$B$26*Assumptions!$B$7</f>
        <v/>
      </c>
      <c r="F13" s="26">
        <f>C13*Assumptions!$B$10</f>
        <v/>
      </c>
      <c r="G13" s="5">
        <f>MAX(F13-F12,0)*Assumptions!$B$11+F13*Assumptions!$B$12</f>
        <v/>
      </c>
      <c r="H13" s="5">
        <f>H12*(1+Assumptions!$B$14/12)+G13</f>
        <v/>
      </c>
      <c r="I13" s="5">
        <f>H13*Assumptions!$B$13/12</f>
        <v/>
      </c>
      <c r="J13" s="5">
        <f>G13*(Assumptions!$B$5+Assumptions!$B$6)</f>
        <v/>
      </c>
      <c r="K13" s="5">
        <f>D13+E13+I13+J13</f>
        <v/>
      </c>
      <c r="L13" s="5">
        <f>C13*(Assumptions!$B$24*Assumptions!$B$25*Assumptions!$B$18+Assumptions!$B$20)+B13*(Assumptions!$B$21+Assumptions!$B$19)+G13*Assumptions!$B$18</f>
        <v/>
      </c>
      <c r="M13" s="5">
        <f>Assumptions!$B$40/12</f>
        <v/>
      </c>
      <c r="N13" s="5">
        <f>K13-L13-M13</f>
        <v/>
      </c>
      <c r="O13" s="5">
        <f>O12+N13</f>
        <v/>
      </c>
      <c r="P13" s="27">
        <f>IF(N13&gt;0,1,0)</f>
        <v/>
      </c>
    </row>
    <row r="14">
      <c r="A14" t="n">
        <v>11</v>
      </c>
      <c r="B14" s="26">
        <f>B13*(1+Assumptions!$B$31)</f>
        <v/>
      </c>
      <c r="C14" s="26">
        <f>C13*(1-Assumptions!$B$27)+B14</f>
        <v/>
      </c>
      <c r="D14" s="5">
        <f>C14*Assumptions!$B$24*Assumptions!$B$25*(Assumptions!$B$5+Assumptions!$B$6)</f>
        <v/>
      </c>
      <c r="E14" s="5">
        <f>C14*Assumptions!$B$26*Assumptions!$B$7</f>
        <v/>
      </c>
      <c r="F14" s="26">
        <f>C14*Assumptions!$B$10</f>
        <v/>
      </c>
      <c r="G14" s="5">
        <f>MAX(F14-F13,0)*Assumptions!$B$11+F14*Assumptions!$B$12</f>
        <v/>
      </c>
      <c r="H14" s="5">
        <f>H13*(1+Assumptions!$B$14/12)+G14</f>
        <v/>
      </c>
      <c r="I14" s="5">
        <f>H14*Assumptions!$B$13/12</f>
        <v/>
      </c>
      <c r="J14" s="5">
        <f>G14*(Assumptions!$B$5+Assumptions!$B$6)</f>
        <v/>
      </c>
      <c r="K14" s="5">
        <f>D14+E14+I14+J14</f>
        <v/>
      </c>
      <c r="L14" s="5">
        <f>C14*(Assumptions!$B$24*Assumptions!$B$25*Assumptions!$B$18+Assumptions!$B$20)+B14*(Assumptions!$B$21+Assumptions!$B$19)+G14*Assumptions!$B$18</f>
        <v/>
      </c>
      <c r="M14" s="5">
        <f>Assumptions!$B$40/12</f>
        <v/>
      </c>
      <c r="N14" s="5">
        <f>K14-L14-M14</f>
        <v/>
      </c>
      <c r="O14" s="5">
        <f>O13+N14</f>
        <v/>
      </c>
      <c r="P14" s="27">
        <f>IF(N14&gt;0,1,0)</f>
        <v/>
      </c>
    </row>
    <row r="15">
      <c r="A15" t="n">
        <v>12</v>
      </c>
      <c r="B15" s="26">
        <f>B14*(1+Assumptions!$B$31)</f>
        <v/>
      </c>
      <c r="C15" s="26">
        <f>C14*(1-Assumptions!$B$27)+B15</f>
        <v/>
      </c>
      <c r="D15" s="5">
        <f>C15*Assumptions!$B$24*Assumptions!$B$25*(Assumptions!$B$5+Assumptions!$B$6)</f>
        <v/>
      </c>
      <c r="E15" s="5">
        <f>C15*Assumptions!$B$26*Assumptions!$B$7</f>
        <v/>
      </c>
      <c r="F15" s="26">
        <f>C15*Assumptions!$B$10</f>
        <v/>
      </c>
      <c r="G15" s="5">
        <f>MAX(F15-F14,0)*Assumptions!$B$11+F15*Assumptions!$B$12</f>
        <v/>
      </c>
      <c r="H15" s="5">
        <f>H14*(1+Assumptions!$B$14/12)+G15</f>
        <v/>
      </c>
      <c r="I15" s="5">
        <f>H15*Assumptions!$B$13/12</f>
        <v/>
      </c>
      <c r="J15" s="5">
        <f>G15*(Assumptions!$B$5+Assumptions!$B$6)</f>
        <v/>
      </c>
      <c r="K15" s="5">
        <f>D15+E15+I15+J15</f>
        <v/>
      </c>
      <c r="L15" s="5">
        <f>C15*(Assumptions!$B$24*Assumptions!$B$25*Assumptions!$B$18+Assumptions!$B$20)+B15*(Assumptions!$B$21+Assumptions!$B$19)+G15*Assumptions!$B$18</f>
        <v/>
      </c>
      <c r="M15" s="5">
        <f>Assumptions!$B$40/12</f>
        <v/>
      </c>
      <c r="N15" s="5">
        <f>K15-L15-M15</f>
        <v/>
      </c>
      <c r="O15" s="5">
        <f>O14+N15</f>
        <v/>
      </c>
      <c r="P15" s="27">
        <f>IF(N15&gt;0,1,0)</f>
        <v/>
      </c>
    </row>
    <row r="16">
      <c r="A16" t="n">
        <v>13</v>
      </c>
      <c r="B16" s="26">
        <f>B15*(1+Assumptions!$B$31)</f>
        <v/>
      </c>
      <c r="C16" s="26">
        <f>C15*(1-Assumptions!$B$27)+B16</f>
        <v/>
      </c>
      <c r="D16" s="5">
        <f>C16*Assumptions!$B$24*Assumptions!$B$25*(Assumptions!$B$5+Assumptions!$B$6)</f>
        <v/>
      </c>
      <c r="E16" s="5">
        <f>C16*Assumptions!$B$26*Assumptions!$B$7</f>
        <v/>
      </c>
      <c r="F16" s="26">
        <f>C16*Assumptions!$B$10</f>
        <v/>
      </c>
      <c r="G16" s="5">
        <f>MAX(F16-F15,0)*Assumptions!$B$11+F16*Assumptions!$B$12</f>
        <v/>
      </c>
      <c r="H16" s="5">
        <f>H15*(1+Assumptions!$B$14/12)+G16</f>
        <v/>
      </c>
      <c r="I16" s="5">
        <f>H16*Assumptions!$B$13/12</f>
        <v/>
      </c>
      <c r="J16" s="5">
        <f>G16*(Assumptions!$B$5+Assumptions!$B$6)</f>
        <v/>
      </c>
      <c r="K16" s="5">
        <f>D16+E16+I16+J16</f>
        <v/>
      </c>
      <c r="L16" s="5">
        <f>C16*(Assumptions!$B$24*Assumptions!$B$25*Assumptions!$B$18+Assumptions!$B$20)+B16*(Assumptions!$B$21+Assumptions!$B$19)+G16*Assumptions!$B$18</f>
        <v/>
      </c>
      <c r="M16" s="5">
        <f>Assumptions!$B$40/12</f>
        <v/>
      </c>
      <c r="N16" s="5">
        <f>K16-L16-M16</f>
        <v/>
      </c>
      <c r="O16" s="5">
        <f>O15+N16</f>
        <v/>
      </c>
      <c r="P16" s="27">
        <f>IF(N16&gt;0,1,0)</f>
        <v/>
      </c>
    </row>
    <row r="17">
      <c r="A17" t="n">
        <v>14</v>
      </c>
      <c r="B17" s="26">
        <f>B16*(1+Assumptions!$B$31)</f>
        <v/>
      </c>
      <c r="C17" s="26">
        <f>C16*(1-Assumptions!$B$27)+B17</f>
        <v/>
      </c>
      <c r="D17" s="5">
        <f>C17*Assumptions!$B$24*Assumptions!$B$25*(Assumptions!$B$5+Assumptions!$B$6)</f>
        <v/>
      </c>
      <c r="E17" s="5">
        <f>C17*Assumptions!$B$26*Assumptions!$B$7</f>
        <v/>
      </c>
      <c r="F17" s="26">
        <f>C17*Assumptions!$B$10</f>
        <v/>
      </c>
      <c r="G17" s="5">
        <f>MAX(F17-F16,0)*Assumptions!$B$11+F17*Assumptions!$B$12</f>
        <v/>
      </c>
      <c r="H17" s="5">
        <f>H16*(1+Assumptions!$B$14/12)+G17</f>
        <v/>
      </c>
      <c r="I17" s="5">
        <f>H17*Assumptions!$B$13/12</f>
        <v/>
      </c>
      <c r="J17" s="5">
        <f>G17*(Assumptions!$B$5+Assumptions!$B$6)</f>
        <v/>
      </c>
      <c r="K17" s="5">
        <f>D17+E17+I17+J17</f>
        <v/>
      </c>
      <c r="L17" s="5">
        <f>C17*(Assumptions!$B$24*Assumptions!$B$25*Assumptions!$B$18+Assumptions!$B$20)+B17*(Assumptions!$B$21+Assumptions!$B$19)+G17*Assumptions!$B$18</f>
        <v/>
      </c>
      <c r="M17" s="5">
        <f>Assumptions!$B$40/12</f>
        <v/>
      </c>
      <c r="N17" s="5">
        <f>K17-L17-M17</f>
        <v/>
      </c>
      <c r="O17" s="5">
        <f>O16+N17</f>
        <v/>
      </c>
      <c r="P17" s="27">
        <f>IF(N17&gt;0,1,0)</f>
        <v/>
      </c>
    </row>
    <row r="18">
      <c r="A18" t="n">
        <v>15</v>
      </c>
      <c r="B18" s="26">
        <f>B17*(1+Assumptions!$B$31)</f>
        <v/>
      </c>
      <c r="C18" s="26">
        <f>C17*(1-Assumptions!$B$27)+B18</f>
        <v/>
      </c>
      <c r="D18" s="5">
        <f>C18*Assumptions!$B$24*Assumptions!$B$25*(Assumptions!$B$5+Assumptions!$B$6)</f>
        <v/>
      </c>
      <c r="E18" s="5">
        <f>C18*Assumptions!$B$26*Assumptions!$B$7</f>
        <v/>
      </c>
      <c r="F18" s="26">
        <f>C18*Assumptions!$B$10</f>
        <v/>
      </c>
      <c r="G18" s="5">
        <f>MAX(F18-F17,0)*Assumptions!$B$11+F18*Assumptions!$B$12</f>
        <v/>
      </c>
      <c r="H18" s="5">
        <f>H17*(1+Assumptions!$B$14/12)+G18</f>
        <v/>
      </c>
      <c r="I18" s="5">
        <f>H18*Assumptions!$B$13/12</f>
        <v/>
      </c>
      <c r="J18" s="5">
        <f>G18*(Assumptions!$B$5+Assumptions!$B$6)</f>
        <v/>
      </c>
      <c r="K18" s="5">
        <f>D18+E18+I18+J18</f>
        <v/>
      </c>
      <c r="L18" s="5">
        <f>C18*(Assumptions!$B$24*Assumptions!$B$25*Assumptions!$B$18+Assumptions!$B$20)+B18*(Assumptions!$B$21+Assumptions!$B$19)+G18*Assumptions!$B$18</f>
        <v/>
      </c>
      <c r="M18" s="5">
        <f>Assumptions!$B$40/12</f>
        <v/>
      </c>
      <c r="N18" s="5">
        <f>K18-L18-M18</f>
        <v/>
      </c>
      <c r="O18" s="5">
        <f>O17+N18</f>
        <v/>
      </c>
      <c r="P18" s="27">
        <f>IF(N18&gt;0,1,0)</f>
        <v/>
      </c>
    </row>
    <row r="19">
      <c r="A19" t="n">
        <v>16</v>
      </c>
      <c r="B19" s="26">
        <f>B18*(1+Assumptions!$B$31)</f>
        <v/>
      </c>
      <c r="C19" s="26">
        <f>C18*(1-Assumptions!$B$27)+B19</f>
        <v/>
      </c>
      <c r="D19" s="5">
        <f>C19*Assumptions!$B$24*Assumptions!$B$25*(Assumptions!$B$5+Assumptions!$B$6)</f>
        <v/>
      </c>
      <c r="E19" s="5">
        <f>C19*Assumptions!$B$26*Assumptions!$B$7</f>
        <v/>
      </c>
      <c r="F19" s="26">
        <f>C19*Assumptions!$B$10</f>
        <v/>
      </c>
      <c r="G19" s="5">
        <f>MAX(F19-F18,0)*Assumptions!$B$11+F19*Assumptions!$B$12</f>
        <v/>
      </c>
      <c r="H19" s="5">
        <f>H18*(1+Assumptions!$B$14/12)+G19</f>
        <v/>
      </c>
      <c r="I19" s="5">
        <f>H19*Assumptions!$B$13/12</f>
        <v/>
      </c>
      <c r="J19" s="5">
        <f>G19*(Assumptions!$B$5+Assumptions!$B$6)</f>
        <v/>
      </c>
      <c r="K19" s="5">
        <f>D19+E19+I19+J19</f>
        <v/>
      </c>
      <c r="L19" s="5">
        <f>C19*(Assumptions!$B$24*Assumptions!$B$25*Assumptions!$B$18+Assumptions!$B$20)+B19*(Assumptions!$B$21+Assumptions!$B$19)+G19*Assumptions!$B$18</f>
        <v/>
      </c>
      <c r="M19" s="5">
        <f>Assumptions!$B$40/12</f>
        <v/>
      </c>
      <c r="N19" s="5">
        <f>K19-L19-M19</f>
        <v/>
      </c>
      <c r="O19" s="5">
        <f>O18+N19</f>
        <v/>
      </c>
      <c r="P19" s="27">
        <f>IF(N19&gt;0,1,0)</f>
        <v/>
      </c>
    </row>
    <row r="20">
      <c r="A20" t="n">
        <v>17</v>
      </c>
      <c r="B20" s="26">
        <f>B19*(1+Assumptions!$B$31)</f>
        <v/>
      </c>
      <c r="C20" s="26">
        <f>C19*(1-Assumptions!$B$27)+B20</f>
        <v/>
      </c>
      <c r="D20" s="5">
        <f>C20*Assumptions!$B$24*Assumptions!$B$25*(Assumptions!$B$5+Assumptions!$B$6)</f>
        <v/>
      </c>
      <c r="E20" s="5">
        <f>C20*Assumptions!$B$26*Assumptions!$B$7</f>
        <v/>
      </c>
      <c r="F20" s="26">
        <f>C20*Assumptions!$B$10</f>
        <v/>
      </c>
      <c r="G20" s="5">
        <f>MAX(F20-F19,0)*Assumptions!$B$11+F20*Assumptions!$B$12</f>
        <v/>
      </c>
      <c r="H20" s="5">
        <f>H19*(1+Assumptions!$B$14/12)+G20</f>
        <v/>
      </c>
      <c r="I20" s="5">
        <f>H20*Assumptions!$B$13/12</f>
        <v/>
      </c>
      <c r="J20" s="5">
        <f>G20*(Assumptions!$B$5+Assumptions!$B$6)</f>
        <v/>
      </c>
      <c r="K20" s="5">
        <f>D20+E20+I20+J20</f>
        <v/>
      </c>
      <c r="L20" s="5">
        <f>C20*(Assumptions!$B$24*Assumptions!$B$25*Assumptions!$B$18+Assumptions!$B$20)+B20*(Assumptions!$B$21+Assumptions!$B$19)+G20*Assumptions!$B$18</f>
        <v/>
      </c>
      <c r="M20" s="5">
        <f>Assumptions!$B$40/12</f>
        <v/>
      </c>
      <c r="N20" s="5">
        <f>K20-L20-M20</f>
        <v/>
      </c>
      <c r="O20" s="5">
        <f>O19+N20</f>
        <v/>
      </c>
      <c r="P20" s="27">
        <f>IF(N20&gt;0,1,0)</f>
        <v/>
      </c>
    </row>
    <row r="21">
      <c r="A21" t="n">
        <v>18</v>
      </c>
      <c r="B21" s="26">
        <f>B20*(1+Assumptions!$B$31)</f>
        <v/>
      </c>
      <c r="C21" s="26">
        <f>C20*(1-Assumptions!$B$27)+B21</f>
        <v/>
      </c>
      <c r="D21" s="5">
        <f>C21*Assumptions!$B$24*Assumptions!$B$25*(Assumptions!$B$5+Assumptions!$B$6)</f>
        <v/>
      </c>
      <c r="E21" s="5">
        <f>C21*Assumptions!$B$26*Assumptions!$B$7</f>
        <v/>
      </c>
      <c r="F21" s="26">
        <f>C21*Assumptions!$B$10</f>
        <v/>
      </c>
      <c r="G21" s="5">
        <f>MAX(F21-F20,0)*Assumptions!$B$11+F21*Assumptions!$B$12</f>
        <v/>
      </c>
      <c r="H21" s="5">
        <f>H20*(1+Assumptions!$B$14/12)+G21</f>
        <v/>
      </c>
      <c r="I21" s="5">
        <f>H21*Assumptions!$B$13/12</f>
        <v/>
      </c>
      <c r="J21" s="5">
        <f>G21*(Assumptions!$B$5+Assumptions!$B$6)</f>
        <v/>
      </c>
      <c r="K21" s="5">
        <f>D21+E21+I21+J21</f>
        <v/>
      </c>
      <c r="L21" s="5">
        <f>C21*(Assumptions!$B$24*Assumptions!$B$25*Assumptions!$B$18+Assumptions!$B$20)+B21*(Assumptions!$B$21+Assumptions!$B$19)+G21*Assumptions!$B$18</f>
        <v/>
      </c>
      <c r="M21" s="5">
        <f>Assumptions!$B$40/12</f>
        <v/>
      </c>
      <c r="N21" s="5">
        <f>K21-L21-M21</f>
        <v/>
      </c>
      <c r="O21" s="5">
        <f>O20+N21</f>
        <v/>
      </c>
      <c r="P21" s="27">
        <f>IF(N21&gt;0,1,0)</f>
        <v/>
      </c>
    </row>
    <row r="22">
      <c r="A22" t="n">
        <v>19</v>
      </c>
      <c r="B22" s="26">
        <f>B21*(1+Assumptions!$B$31)</f>
        <v/>
      </c>
      <c r="C22" s="26">
        <f>C21*(1-Assumptions!$B$27)+B22</f>
        <v/>
      </c>
      <c r="D22" s="5">
        <f>C22*Assumptions!$B$24*Assumptions!$B$25*(Assumptions!$B$5+Assumptions!$B$6)</f>
        <v/>
      </c>
      <c r="E22" s="5">
        <f>C22*Assumptions!$B$26*Assumptions!$B$7</f>
        <v/>
      </c>
      <c r="F22" s="26">
        <f>C22*Assumptions!$B$10</f>
        <v/>
      </c>
      <c r="G22" s="5">
        <f>MAX(F22-F21,0)*Assumptions!$B$11+F22*Assumptions!$B$12</f>
        <v/>
      </c>
      <c r="H22" s="5">
        <f>H21*(1+Assumptions!$B$14/12)+G22</f>
        <v/>
      </c>
      <c r="I22" s="5">
        <f>H22*Assumptions!$B$13/12</f>
        <v/>
      </c>
      <c r="J22" s="5">
        <f>G22*(Assumptions!$B$5+Assumptions!$B$6)</f>
        <v/>
      </c>
      <c r="K22" s="5">
        <f>D22+E22+I22+J22</f>
        <v/>
      </c>
      <c r="L22" s="5">
        <f>C22*(Assumptions!$B$24*Assumptions!$B$25*Assumptions!$B$18+Assumptions!$B$20)+B22*(Assumptions!$B$21+Assumptions!$B$19)+G22*Assumptions!$B$18</f>
        <v/>
      </c>
      <c r="M22" s="5">
        <f>Assumptions!$B$40/12</f>
        <v/>
      </c>
      <c r="N22" s="5">
        <f>K22-L22-M22</f>
        <v/>
      </c>
      <c r="O22" s="5">
        <f>O21+N22</f>
        <v/>
      </c>
      <c r="P22" s="27">
        <f>IF(N22&gt;0,1,0)</f>
        <v/>
      </c>
    </row>
    <row r="23">
      <c r="A23" t="n">
        <v>20</v>
      </c>
      <c r="B23" s="26">
        <f>B22*(1+Assumptions!$B$31)</f>
        <v/>
      </c>
      <c r="C23" s="26">
        <f>C22*(1-Assumptions!$B$27)+B23</f>
        <v/>
      </c>
      <c r="D23" s="5">
        <f>C23*Assumptions!$B$24*Assumptions!$B$25*(Assumptions!$B$5+Assumptions!$B$6)</f>
        <v/>
      </c>
      <c r="E23" s="5">
        <f>C23*Assumptions!$B$26*Assumptions!$B$7</f>
        <v/>
      </c>
      <c r="F23" s="26">
        <f>C23*Assumptions!$B$10</f>
        <v/>
      </c>
      <c r="G23" s="5">
        <f>MAX(F23-F22,0)*Assumptions!$B$11+F23*Assumptions!$B$12</f>
        <v/>
      </c>
      <c r="H23" s="5">
        <f>H22*(1+Assumptions!$B$14/12)+G23</f>
        <v/>
      </c>
      <c r="I23" s="5">
        <f>H23*Assumptions!$B$13/12</f>
        <v/>
      </c>
      <c r="J23" s="5">
        <f>G23*(Assumptions!$B$5+Assumptions!$B$6)</f>
        <v/>
      </c>
      <c r="K23" s="5">
        <f>D23+E23+I23+J23</f>
        <v/>
      </c>
      <c r="L23" s="5">
        <f>C23*(Assumptions!$B$24*Assumptions!$B$25*Assumptions!$B$18+Assumptions!$B$20)+B23*(Assumptions!$B$21+Assumptions!$B$19)+G23*Assumptions!$B$18</f>
        <v/>
      </c>
      <c r="M23" s="5">
        <f>Assumptions!$B$40/12</f>
        <v/>
      </c>
      <c r="N23" s="5">
        <f>K23-L23-M23</f>
        <v/>
      </c>
      <c r="O23" s="5">
        <f>O22+N23</f>
        <v/>
      </c>
      <c r="P23" s="27">
        <f>IF(N23&gt;0,1,0)</f>
        <v/>
      </c>
    </row>
    <row r="24">
      <c r="A24" t="n">
        <v>21</v>
      </c>
      <c r="B24" s="26">
        <f>B23*(1+Assumptions!$B$31)</f>
        <v/>
      </c>
      <c r="C24" s="26">
        <f>C23*(1-Assumptions!$B$27)+B24</f>
        <v/>
      </c>
      <c r="D24" s="5">
        <f>C24*Assumptions!$B$24*Assumptions!$B$25*(Assumptions!$B$5+Assumptions!$B$6)</f>
        <v/>
      </c>
      <c r="E24" s="5">
        <f>C24*Assumptions!$B$26*Assumptions!$B$7</f>
        <v/>
      </c>
      <c r="F24" s="26">
        <f>C24*Assumptions!$B$10</f>
        <v/>
      </c>
      <c r="G24" s="5">
        <f>MAX(F24-F23,0)*Assumptions!$B$11+F24*Assumptions!$B$12</f>
        <v/>
      </c>
      <c r="H24" s="5">
        <f>H23*(1+Assumptions!$B$14/12)+G24</f>
        <v/>
      </c>
      <c r="I24" s="5">
        <f>H24*Assumptions!$B$13/12</f>
        <v/>
      </c>
      <c r="J24" s="5">
        <f>G24*(Assumptions!$B$5+Assumptions!$B$6)</f>
        <v/>
      </c>
      <c r="K24" s="5">
        <f>D24+E24+I24+J24</f>
        <v/>
      </c>
      <c r="L24" s="5">
        <f>C24*(Assumptions!$B$24*Assumptions!$B$25*Assumptions!$B$18+Assumptions!$B$20)+B24*(Assumptions!$B$21+Assumptions!$B$19)+G24*Assumptions!$B$18</f>
        <v/>
      </c>
      <c r="M24" s="5">
        <f>Assumptions!$B$40/12</f>
        <v/>
      </c>
      <c r="N24" s="5">
        <f>K24-L24-M24</f>
        <v/>
      </c>
      <c r="O24" s="5">
        <f>O23+N24</f>
        <v/>
      </c>
      <c r="P24" s="27">
        <f>IF(N24&gt;0,1,0)</f>
        <v/>
      </c>
    </row>
    <row r="25">
      <c r="A25" t="n">
        <v>22</v>
      </c>
      <c r="B25" s="26">
        <f>B24*(1+Assumptions!$B$31)</f>
        <v/>
      </c>
      <c r="C25" s="26">
        <f>C24*(1-Assumptions!$B$27)+B25</f>
        <v/>
      </c>
      <c r="D25" s="5">
        <f>C25*Assumptions!$B$24*Assumptions!$B$25*(Assumptions!$B$5+Assumptions!$B$6)</f>
        <v/>
      </c>
      <c r="E25" s="5">
        <f>C25*Assumptions!$B$26*Assumptions!$B$7</f>
        <v/>
      </c>
      <c r="F25" s="26">
        <f>C25*Assumptions!$B$10</f>
        <v/>
      </c>
      <c r="G25" s="5">
        <f>MAX(F25-F24,0)*Assumptions!$B$11+F25*Assumptions!$B$12</f>
        <v/>
      </c>
      <c r="H25" s="5">
        <f>H24*(1+Assumptions!$B$14/12)+G25</f>
        <v/>
      </c>
      <c r="I25" s="5">
        <f>H25*Assumptions!$B$13/12</f>
        <v/>
      </c>
      <c r="J25" s="5">
        <f>G25*(Assumptions!$B$5+Assumptions!$B$6)</f>
        <v/>
      </c>
      <c r="K25" s="5">
        <f>D25+E25+I25+J25</f>
        <v/>
      </c>
      <c r="L25" s="5">
        <f>C25*(Assumptions!$B$24*Assumptions!$B$25*Assumptions!$B$18+Assumptions!$B$20)+B25*(Assumptions!$B$21+Assumptions!$B$19)+G25*Assumptions!$B$18</f>
        <v/>
      </c>
      <c r="M25" s="5">
        <f>Assumptions!$B$40/12</f>
        <v/>
      </c>
      <c r="N25" s="5">
        <f>K25-L25-M25</f>
        <v/>
      </c>
      <c r="O25" s="5">
        <f>O24+N25</f>
        <v/>
      </c>
      <c r="P25" s="27">
        <f>IF(N25&gt;0,1,0)</f>
        <v/>
      </c>
    </row>
    <row r="26">
      <c r="A26" t="n">
        <v>23</v>
      </c>
      <c r="B26" s="26">
        <f>B25*(1+Assumptions!$B$31)</f>
        <v/>
      </c>
      <c r="C26" s="26">
        <f>C25*(1-Assumptions!$B$27)+B26</f>
        <v/>
      </c>
      <c r="D26" s="5">
        <f>C26*Assumptions!$B$24*Assumptions!$B$25*(Assumptions!$B$5+Assumptions!$B$6)</f>
        <v/>
      </c>
      <c r="E26" s="5">
        <f>C26*Assumptions!$B$26*Assumptions!$B$7</f>
        <v/>
      </c>
      <c r="F26" s="26">
        <f>C26*Assumptions!$B$10</f>
        <v/>
      </c>
      <c r="G26" s="5">
        <f>MAX(F26-F25,0)*Assumptions!$B$11+F26*Assumptions!$B$12</f>
        <v/>
      </c>
      <c r="H26" s="5">
        <f>H25*(1+Assumptions!$B$14/12)+G26</f>
        <v/>
      </c>
      <c r="I26" s="5">
        <f>H26*Assumptions!$B$13/12</f>
        <v/>
      </c>
      <c r="J26" s="5">
        <f>G26*(Assumptions!$B$5+Assumptions!$B$6)</f>
        <v/>
      </c>
      <c r="K26" s="5">
        <f>D26+E26+I26+J26</f>
        <v/>
      </c>
      <c r="L26" s="5">
        <f>C26*(Assumptions!$B$24*Assumptions!$B$25*Assumptions!$B$18+Assumptions!$B$20)+B26*(Assumptions!$B$21+Assumptions!$B$19)+G26*Assumptions!$B$18</f>
        <v/>
      </c>
      <c r="M26" s="5">
        <f>Assumptions!$B$40/12</f>
        <v/>
      </c>
      <c r="N26" s="5">
        <f>K26-L26-M26</f>
        <v/>
      </c>
      <c r="O26" s="5">
        <f>O25+N26</f>
        <v/>
      </c>
      <c r="P26" s="27">
        <f>IF(N26&gt;0,1,0)</f>
        <v/>
      </c>
    </row>
    <row r="27">
      <c r="A27" t="n">
        <v>24</v>
      </c>
      <c r="B27" s="26">
        <f>B26*(1+Assumptions!$B$31)</f>
        <v/>
      </c>
      <c r="C27" s="26">
        <f>C26*(1-Assumptions!$B$27)+B27</f>
        <v/>
      </c>
      <c r="D27" s="5">
        <f>C27*Assumptions!$B$24*Assumptions!$B$25*(Assumptions!$B$5+Assumptions!$B$6)</f>
        <v/>
      </c>
      <c r="E27" s="5">
        <f>C27*Assumptions!$B$26*Assumptions!$B$7</f>
        <v/>
      </c>
      <c r="F27" s="26">
        <f>C27*Assumptions!$B$10</f>
        <v/>
      </c>
      <c r="G27" s="5">
        <f>MAX(F27-F26,0)*Assumptions!$B$11+F27*Assumptions!$B$12</f>
        <v/>
      </c>
      <c r="H27" s="5">
        <f>H26*(1+Assumptions!$B$14/12)+G27</f>
        <v/>
      </c>
      <c r="I27" s="5">
        <f>H27*Assumptions!$B$13/12</f>
        <v/>
      </c>
      <c r="J27" s="5">
        <f>G27*(Assumptions!$B$5+Assumptions!$B$6)</f>
        <v/>
      </c>
      <c r="K27" s="5">
        <f>D27+E27+I27+J27</f>
        <v/>
      </c>
      <c r="L27" s="5">
        <f>C27*(Assumptions!$B$24*Assumptions!$B$25*Assumptions!$B$18+Assumptions!$B$20)+B27*(Assumptions!$B$21+Assumptions!$B$19)+G27*Assumptions!$B$18</f>
        <v/>
      </c>
      <c r="M27" s="5">
        <f>Assumptions!$B$40/12</f>
        <v/>
      </c>
      <c r="N27" s="5">
        <f>K27-L27-M27</f>
        <v/>
      </c>
      <c r="O27" s="5">
        <f>O26+N27</f>
        <v/>
      </c>
      <c r="P27" s="27">
        <f>IF(N27&gt;0,1,0)</f>
        <v/>
      </c>
    </row>
    <row r="28">
      <c r="A28" t="n">
        <v>25</v>
      </c>
      <c r="B28" s="26">
        <f>B27*(1+Assumptions!$B$31)</f>
        <v/>
      </c>
      <c r="C28" s="26">
        <f>C27*(1-Assumptions!$B$27)+B28</f>
        <v/>
      </c>
      <c r="D28" s="5">
        <f>C28*Assumptions!$B$24*Assumptions!$B$25*(Assumptions!$B$5+Assumptions!$B$6)</f>
        <v/>
      </c>
      <c r="E28" s="5">
        <f>C28*Assumptions!$B$26*Assumptions!$B$7</f>
        <v/>
      </c>
      <c r="F28" s="26">
        <f>C28*Assumptions!$B$10</f>
        <v/>
      </c>
      <c r="G28" s="5">
        <f>MAX(F28-F27,0)*Assumptions!$B$11+F28*Assumptions!$B$12</f>
        <v/>
      </c>
      <c r="H28" s="5">
        <f>H27*(1+Assumptions!$B$14/12)+G28</f>
        <v/>
      </c>
      <c r="I28" s="5">
        <f>H28*Assumptions!$B$13/12</f>
        <v/>
      </c>
      <c r="J28" s="5">
        <f>G28*(Assumptions!$B$5+Assumptions!$B$6)</f>
        <v/>
      </c>
      <c r="K28" s="5">
        <f>D28+E28+I28+J28</f>
        <v/>
      </c>
      <c r="L28" s="5">
        <f>C28*(Assumptions!$B$24*Assumptions!$B$25*Assumptions!$B$18+Assumptions!$B$20)+B28*(Assumptions!$B$21+Assumptions!$B$19)+G28*Assumptions!$B$18</f>
        <v/>
      </c>
      <c r="M28" s="5">
        <f>Assumptions!$B$40/12</f>
        <v/>
      </c>
      <c r="N28" s="5">
        <f>K28-L28-M28</f>
        <v/>
      </c>
      <c r="O28" s="5">
        <f>O27+N28</f>
        <v/>
      </c>
      <c r="P28" s="27">
        <f>IF(N28&gt;0,1,0)</f>
        <v/>
      </c>
    </row>
    <row r="29">
      <c r="A29" t="n">
        <v>26</v>
      </c>
      <c r="B29" s="26">
        <f>B28*(1+Assumptions!$B$31)</f>
        <v/>
      </c>
      <c r="C29" s="26">
        <f>C28*(1-Assumptions!$B$27)+B29</f>
        <v/>
      </c>
      <c r="D29" s="5">
        <f>C29*Assumptions!$B$24*Assumptions!$B$25*(Assumptions!$B$5+Assumptions!$B$6)</f>
        <v/>
      </c>
      <c r="E29" s="5">
        <f>C29*Assumptions!$B$26*Assumptions!$B$7</f>
        <v/>
      </c>
      <c r="F29" s="26">
        <f>C29*Assumptions!$B$10</f>
        <v/>
      </c>
      <c r="G29" s="5">
        <f>MAX(F29-F28,0)*Assumptions!$B$11+F29*Assumptions!$B$12</f>
        <v/>
      </c>
      <c r="H29" s="5">
        <f>H28*(1+Assumptions!$B$14/12)+G29</f>
        <v/>
      </c>
      <c r="I29" s="5">
        <f>H29*Assumptions!$B$13/12</f>
        <v/>
      </c>
      <c r="J29" s="5">
        <f>G29*(Assumptions!$B$5+Assumptions!$B$6)</f>
        <v/>
      </c>
      <c r="K29" s="5">
        <f>D29+E29+I29+J29</f>
        <v/>
      </c>
      <c r="L29" s="5">
        <f>C29*(Assumptions!$B$24*Assumptions!$B$25*Assumptions!$B$18+Assumptions!$B$20)+B29*(Assumptions!$B$21+Assumptions!$B$19)+G29*Assumptions!$B$18</f>
        <v/>
      </c>
      <c r="M29" s="5">
        <f>Assumptions!$B$40/12</f>
        <v/>
      </c>
      <c r="N29" s="5">
        <f>K29-L29-M29</f>
        <v/>
      </c>
      <c r="O29" s="5">
        <f>O28+N29</f>
        <v/>
      </c>
      <c r="P29" s="27">
        <f>IF(N29&gt;0,1,0)</f>
        <v/>
      </c>
    </row>
    <row r="30">
      <c r="A30" t="n">
        <v>27</v>
      </c>
      <c r="B30" s="26">
        <f>B29*(1+Assumptions!$B$31)</f>
        <v/>
      </c>
      <c r="C30" s="26">
        <f>C29*(1-Assumptions!$B$27)+B30</f>
        <v/>
      </c>
      <c r="D30" s="5">
        <f>C30*Assumptions!$B$24*Assumptions!$B$25*(Assumptions!$B$5+Assumptions!$B$6)</f>
        <v/>
      </c>
      <c r="E30" s="5">
        <f>C30*Assumptions!$B$26*Assumptions!$B$7</f>
        <v/>
      </c>
      <c r="F30" s="26">
        <f>C30*Assumptions!$B$10</f>
        <v/>
      </c>
      <c r="G30" s="5">
        <f>MAX(F30-F29,0)*Assumptions!$B$11+F30*Assumptions!$B$12</f>
        <v/>
      </c>
      <c r="H30" s="5">
        <f>H29*(1+Assumptions!$B$14/12)+G30</f>
        <v/>
      </c>
      <c r="I30" s="5">
        <f>H30*Assumptions!$B$13/12</f>
        <v/>
      </c>
      <c r="J30" s="5">
        <f>G30*(Assumptions!$B$5+Assumptions!$B$6)</f>
        <v/>
      </c>
      <c r="K30" s="5">
        <f>D30+E30+I30+J30</f>
        <v/>
      </c>
      <c r="L30" s="5">
        <f>C30*(Assumptions!$B$24*Assumptions!$B$25*Assumptions!$B$18+Assumptions!$B$20)+B30*(Assumptions!$B$21+Assumptions!$B$19)+G30*Assumptions!$B$18</f>
        <v/>
      </c>
      <c r="M30" s="5">
        <f>Assumptions!$B$40/12</f>
        <v/>
      </c>
      <c r="N30" s="5">
        <f>K30-L30-M30</f>
        <v/>
      </c>
      <c r="O30" s="5">
        <f>O29+N30</f>
        <v/>
      </c>
      <c r="P30" s="27">
        <f>IF(N30&gt;0,1,0)</f>
        <v/>
      </c>
    </row>
    <row r="31">
      <c r="A31" t="n">
        <v>28</v>
      </c>
      <c r="B31" s="26">
        <f>B30*(1+Assumptions!$B$31)</f>
        <v/>
      </c>
      <c r="C31" s="26">
        <f>C30*(1-Assumptions!$B$27)+B31</f>
        <v/>
      </c>
      <c r="D31" s="5">
        <f>C31*Assumptions!$B$24*Assumptions!$B$25*(Assumptions!$B$5+Assumptions!$B$6)</f>
        <v/>
      </c>
      <c r="E31" s="5">
        <f>C31*Assumptions!$B$26*Assumptions!$B$7</f>
        <v/>
      </c>
      <c r="F31" s="26">
        <f>C31*Assumptions!$B$10</f>
        <v/>
      </c>
      <c r="G31" s="5">
        <f>MAX(F31-F30,0)*Assumptions!$B$11+F31*Assumptions!$B$12</f>
        <v/>
      </c>
      <c r="H31" s="5">
        <f>H30*(1+Assumptions!$B$14/12)+G31</f>
        <v/>
      </c>
      <c r="I31" s="5">
        <f>H31*Assumptions!$B$13/12</f>
        <v/>
      </c>
      <c r="J31" s="5">
        <f>G31*(Assumptions!$B$5+Assumptions!$B$6)</f>
        <v/>
      </c>
      <c r="K31" s="5">
        <f>D31+E31+I31+J31</f>
        <v/>
      </c>
      <c r="L31" s="5">
        <f>C31*(Assumptions!$B$24*Assumptions!$B$25*Assumptions!$B$18+Assumptions!$B$20)+B31*(Assumptions!$B$21+Assumptions!$B$19)+G31*Assumptions!$B$18</f>
        <v/>
      </c>
      <c r="M31" s="5">
        <f>Assumptions!$B$40/12</f>
        <v/>
      </c>
      <c r="N31" s="5">
        <f>K31-L31-M31</f>
        <v/>
      </c>
      <c r="O31" s="5">
        <f>O30+N31</f>
        <v/>
      </c>
      <c r="P31" s="27">
        <f>IF(N31&gt;0,1,0)</f>
        <v/>
      </c>
    </row>
    <row r="32">
      <c r="A32" t="n">
        <v>29</v>
      </c>
      <c r="B32" s="26">
        <f>B31*(1+Assumptions!$B$31)</f>
        <v/>
      </c>
      <c r="C32" s="26">
        <f>C31*(1-Assumptions!$B$27)+B32</f>
        <v/>
      </c>
      <c r="D32" s="5">
        <f>C32*Assumptions!$B$24*Assumptions!$B$25*(Assumptions!$B$5+Assumptions!$B$6)</f>
        <v/>
      </c>
      <c r="E32" s="5">
        <f>C32*Assumptions!$B$26*Assumptions!$B$7</f>
        <v/>
      </c>
      <c r="F32" s="26">
        <f>C32*Assumptions!$B$10</f>
        <v/>
      </c>
      <c r="G32" s="5">
        <f>MAX(F32-F31,0)*Assumptions!$B$11+F32*Assumptions!$B$12</f>
        <v/>
      </c>
      <c r="H32" s="5">
        <f>H31*(1+Assumptions!$B$14/12)+G32</f>
        <v/>
      </c>
      <c r="I32" s="5">
        <f>H32*Assumptions!$B$13/12</f>
        <v/>
      </c>
      <c r="J32" s="5">
        <f>G32*(Assumptions!$B$5+Assumptions!$B$6)</f>
        <v/>
      </c>
      <c r="K32" s="5">
        <f>D32+E32+I32+J32</f>
        <v/>
      </c>
      <c r="L32" s="5">
        <f>C32*(Assumptions!$B$24*Assumptions!$B$25*Assumptions!$B$18+Assumptions!$B$20)+B32*(Assumptions!$B$21+Assumptions!$B$19)+G32*Assumptions!$B$18</f>
        <v/>
      </c>
      <c r="M32" s="5">
        <f>Assumptions!$B$40/12</f>
        <v/>
      </c>
      <c r="N32" s="5">
        <f>K32-L32-M32</f>
        <v/>
      </c>
      <c r="O32" s="5">
        <f>O31+N32</f>
        <v/>
      </c>
      <c r="P32" s="27">
        <f>IF(N32&gt;0,1,0)</f>
        <v/>
      </c>
    </row>
    <row r="33">
      <c r="A33" t="n">
        <v>30</v>
      </c>
      <c r="B33" s="26">
        <f>B32*(1+Assumptions!$B$31)</f>
        <v/>
      </c>
      <c r="C33" s="26">
        <f>C32*(1-Assumptions!$B$27)+B33</f>
        <v/>
      </c>
      <c r="D33" s="5">
        <f>C33*Assumptions!$B$24*Assumptions!$B$25*(Assumptions!$B$5+Assumptions!$B$6)</f>
        <v/>
      </c>
      <c r="E33" s="5">
        <f>C33*Assumptions!$B$26*Assumptions!$B$7</f>
        <v/>
      </c>
      <c r="F33" s="26">
        <f>C33*Assumptions!$B$10</f>
        <v/>
      </c>
      <c r="G33" s="5">
        <f>MAX(F33-F32,0)*Assumptions!$B$11+F33*Assumptions!$B$12</f>
        <v/>
      </c>
      <c r="H33" s="5">
        <f>H32*(1+Assumptions!$B$14/12)+G33</f>
        <v/>
      </c>
      <c r="I33" s="5">
        <f>H33*Assumptions!$B$13/12</f>
        <v/>
      </c>
      <c r="J33" s="5">
        <f>G33*(Assumptions!$B$5+Assumptions!$B$6)</f>
        <v/>
      </c>
      <c r="K33" s="5">
        <f>D33+E33+I33+J33</f>
        <v/>
      </c>
      <c r="L33" s="5">
        <f>C33*(Assumptions!$B$24*Assumptions!$B$25*Assumptions!$B$18+Assumptions!$B$20)+B33*(Assumptions!$B$21+Assumptions!$B$19)+G33*Assumptions!$B$18</f>
        <v/>
      </c>
      <c r="M33" s="5">
        <f>Assumptions!$B$40/12</f>
        <v/>
      </c>
      <c r="N33" s="5">
        <f>K33-L33-M33</f>
        <v/>
      </c>
      <c r="O33" s="5">
        <f>O32+N33</f>
        <v/>
      </c>
      <c r="P33" s="27">
        <f>IF(N33&gt;0,1,0)</f>
        <v/>
      </c>
    </row>
    <row r="34">
      <c r="A34" t="n">
        <v>31</v>
      </c>
      <c r="B34" s="26">
        <f>B33*(1+Assumptions!$B$31)</f>
        <v/>
      </c>
      <c r="C34" s="26">
        <f>C33*(1-Assumptions!$B$27)+B34</f>
        <v/>
      </c>
      <c r="D34" s="5">
        <f>C34*Assumptions!$B$24*Assumptions!$B$25*(Assumptions!$B$5+Assumptions!$B$6)</f>
        <v/>
      </c>
      <c r="E34" s="5">
        <f>C34*Assumptions!$B$26*Assumptions!$B$7</f>
        <v/>
      </c>
      <c r="F34" s="26">
        <f>C34*Assumptions!$B$10</f>
        <v/>
      </c>
      <c r="G34" s="5">
        <f>MAX(F34-F33,0)*Assumptions!$B$11+F34*Assumptions!$B$12</f>
        <v/>
      </c>
      <c r="H34" s="5">
        <f>H33*(1+Assumptions!$B$14/12)+G34</f>
        <v/>
      </c>
      <c r="I34" s="5">
        <f>H34*Assumptions!$B$13/12</f>
        <v/>
      </c>
      <c r="J34" s="5">
        <f>G34*(Assumptions!$B$5+Assumptions!$B$6)</f>
        <v/>
      </c>
      <c r="K34" s="5">
        <f>D34+E34+I34+J34</f>
        <v/>
      </c>
      <c r="L34" s="5">
        <f>C34*(Assumptions!$B$24*Assumptions!$B$25*Assumptions!$B$18+Assumptions!$B$20)+B34*(Assumptions!$B$21+Assumptions!$B$19)+G34*Assumptions!$B$18</f>
        <v/>
      </c>
      <c r="M34" s="5">
        <f>Assumptions!$B$40/12</f>
        <v/>
      </c>
      <c r="N34" s="5">
        <f>K34-L34-M34</f>
        <v/>
      </c>
      <c r="O34" s="5">
        <f>O33+N34</f>
        <v/>
      </c>
      <c r="P34" s="27">
        <f>IF(N34&gt;0,1,0)</f>
        <v/>
      </c>
    </row>
    <row r="35">
      <c r="A35" t="n">
        <v>32</v>
      </c>
      <c r="B35" s="26">
        <f>B34*(1+Assumptions!$B$31)</f>
        <v/>
      </c>
      <c r="C35" s="26">
        <f>C34*(1-Assumptions!$B$27)+B35</f>
        <v/>
      </c>
      <c r="D35" s="5">
        <f>C35*Assumptions!$B$24*Assumptions!$B$25*(Assumptions!$B$5+Assumptions!$B$6)</f>
        <v/>
      </c>
      <c r="E35" s="5">
        <f>C35*Assumptions!$B$26*Assumptions!$B$7</f>
        <v/>
      </c>
      <c r="F35" s="26">
        <f>C35*Assumptions!$B$10</f>
        <v/>
      </c>
      <c r="G35" s="5">
        <f>MAX(F35-F34,0)*Assumptions!$B$11+F35*Assumptions!$B$12</f>
        <v/>
      </c>
      <c r="H35" s="5">
        <f>H34*(1+Assumptions!$B$14/12)+G35</f>
        <v/>
      </c>
      <c r="I35" s="5">
        <f>H35*Assumptions!$B$13/12</f>
        <v/>
      </c>
      <c r="J35" s="5">
        <f>G35*(Assumptions!$B$5+Assumptions!$B$6)</f>
        <v/>
      </c>
      <c r="K35" s="5">
        <f>D35+E35+I35+J35</f>
        <v/>
      </c>
      <c r="L35" s="5">
        <f>C35*(Assumptions!$B$24*Assumptions!$B$25*Assumptions!$B$18+Assumptions!$B$20)+B35*(Assumptions!$B$21+Assumptions!$B$19)+G35*Assumptions!$B$18</f>
        <v/>
      </c>
      <c r="M35" s="5">
        <f>Assumptions!$B$40/12</f>
        <v/>
      </c>
      <c r="N35" s="5">
        <f>K35-L35-M35</f>
        <v/>
      </c>
      <c r="O35" s="5">
        <f>O34+N35</f>
        <v/>
      </c>
      <c r="P35" s="27">
        <f>IF(N35&gt;0,1,0)</f>
        <v/>
      </c>
    </row>
    <row r="36">
      <c r="A36" t="n">
        <v>33</v>
      </c>
      <c r="B36" s="26">
        <f>B35*(1+Assumptions!$B$31)</f>
        <v/>
      </c>
      <c r="C36" s="26">
        <f>C35*(1-Assumptions!$B$27)+B36</f>
        <v/>
      </c>
      <c r="D36" s="5">
        <f>C36*Assumptions!$B$24*Assumptions!$B$25*(Assumptions!$B$5+Assumptions!$B$6)</f>
        <v/>
      </c>
      <c r="E36" s="5">
        <f>C36*Assumptions!$B$26*Assumptions!$B$7</f>
        <v/>
      </c>
      <c r="F36" s="26">
        <f>C36*Assumptions!$B$10</f>
        <v/>
      </c>
      <c r="G36" s="5">
        <f>MAX(F36-F35,0)*Assumptions!$B$11+F36*Assumptions!$B$12</f>
        <v/>
      </c>
      <c r="H36" s="5">
        <f>H35*(1+Assumptions!$B$14/12)+G36</f>
        <v/>
      </c>
      <c r="I36" s="5">
        <f>H36*Assumptions!$B$13/12</f>
        <v/>
      </c>
      <c r="J36" s="5">
        <f>G36*(Assumptions!$B$5+Assumptions!$B$6)</f>
        <v/>
      </c>
      <c r="K36" s="5">
        <f>D36+E36+I36+J36</f>
        <v/>
      </c>
      <c r="L36" s="5">
        <f>C36*(Assumptions!$B$24*Assumptions!$B$25*Assumptions!$B$18+Assumptions!$B$20)+B36*(Assumptions!$B$21+Assumptions!$B$19)+G36*Assumptions!$B$18</f>
        <v/>
      </c>
      <c r="M36" s="5">
        <f>Assumptions!$B$40/12</f>
        <v/>
      </c>
      <c r="N36" s="5">
        <f>K36-L36-M36</f>
        <v/>
      </c>
      <c r="O36" s="5">
        <f>O35+N36</f>
        <v/>
      </c>
      <c r="P36" s="27">
        <f>IF(N36&gt;0,1,0)</f>
        <v/>
      </c>
    </row>
    <row r="37">
      <c r="A37" t="n">
        <v>34</v>
      </c>
      <c r="B37" s="26">
        <f>B36*(1+Assumptions!$B$31)</f>
        <v/>
      </c>
      <c r="C37" s="26">
        <f>C36*(1-Assumptions!$B$27)+B37</f>
        <v/>
      </c>
      <c r="D37" s="5">
        <f>C37*Assumptions!$B$24*Assumptions!$B$25*(Assumptions!$B$5+Assumptions!$B$6)</f>
        <v/>
      </c>
      <c r="E37" s="5">
        <f>C37*Assumptions!$B$26*Assumptions!$B$7</f>
        <v/>
      </c>
      <c r="F37" s="26">
        <f>C37*Assumptions!$B$10</f>
        <v/>
      </c>
      <c r="G37" s="5">
        <f>MAX(F37-F36,0)*Assumptions!$B$11+F37*Assumptions!$B$12</f>
        <v/>
      </c>
      <c r="H37" s="5">
        <f>H36*(1+Assumptions!$B$14/12)+G37</f>
        <v/>
      </c>
      <c r="I37" s="5">
        <f>H37*Assumptions!$B$13/12</f>
        <v/>
      </c>
      <c r="J37" s="5">
        <f>G37*(Assumptions!$B$5+Assumptions!$B$6)</f>
        <v/>
      </c>
      <c r="K37" s="5">
        <f>D37+E37+I37+J37</f>
        <v/>
      </c>
      <c r="L37" s="5">
        <f>C37*(Assumptions!$B$24*Assumptions!$B$25*Assumptions!$B$18+Assumptions!$B$20)+B37*(Assumptions!$B$21+Assumptions!$B$19)+G37*Assumptions!$B$18</f>
        <v/>
      </c>
      <c r="M37" s="5">
        <f>Assumptions!$B$40/12</f>
        <v/>
      </c>
      <c r="N37" s="5">
        <f>K37-L37-M37</f>
        <v/>
      </c>
      <c r="O37" s="5">
        <f>O36+N37</f>
        <v/>
      </c>
      <c r="P37" s="27">
        <f>IF(N37&gt;0,1,0)</f>
        <v/>
      </c>
    </row>
    <row r="38">
      <c r="A38" t="n">
        <v>35</v>
      </c>
      <c r="B38" s="26">
        <f>B37*(1+Assumptions!$B$31)</f>
        <v/>
      </c>
      <c r="C38" s="26">
        <f>C37*(1-Assumptions!$B$27)+B38</f>
        <v/>
      </c>
      <c r="D38" s="5">
        <f>C38*Assumptions!$B$24*Assumptions!$B$25*(Assumptions!$B$5+Assumptions!$B$6)</f>
        <v/>
      </c>
      <c r="E38" s="5">
        <f>C38*Assumptions!$B$26*Assumptions!$B$7</f>
        <v/>
      </c>
      <c r="F38" s="26">
        <f>C38*Assumptions!$B$10</f>
        <v/>
      </c>
      <c r="G38" s="5">
        <f>MAX(F38-F37,0)*Assumptions!$B$11+F38*Assumptions!$B$12</f>
        <v/>
      </c>
      <c r="H38" s="5">
        <f>H37*(1+Assumptions!$B$14/12)+G38</f>
        <v/>
      </c>
      <c r="I38" s="5">
        <f>H38*Assumptions!$B$13/12</f>
        <v/>
      </c>
      <c r="J38" s="5">
        <f>G38*(Assumptions!$B$5+Assumptions!$B$6)</f>
        <v/>
      </c>
      <c r="K38" s="5">
        <f>D38+E38+I38+J38</f>
        <v/>
      </c>
      <c r="L38" s="5">
        <f>C38*(Assumptions!$B$24*Assumptions!$B$25*Assumptions!$B$18+Assumptions!$B$20)+B38*(Assumptions!$B$21+Assumptions!$B$19)+G38*Assumptions!$B$18</f>
        <v/>
      </c>
      <c r="M38" s="5">
        <f>Assumptions!$B$40/12</f>
        <v/>
      </c>
      <c r="N38" s="5">
        <f>K38-L38-M38</f>
        <v/>
      </c>
      <c r="O38" s="5">
        <f>O37+N38</f>
        <v/>
      </c>
      <c r="P38" s="27">
        <f>IF(N38&gt;0,1,0)</f>
        <v/>
      </c>
    </row>
    <row r="39">
      <c r="A39" t="n">
        <v>36</v>
      </c>
      <c r="B39" s="26">
        <f>B38*(1+Assumptions!$B$31)</f>
        <v/>
      </c>
      <c r="C39" s="26">
        <f>C38*(1-Assumptions!$B$27)+B39</f>
        <v/>
      </c>
      <c r="D39" s="5">
        <f>C39*Assumptions!$B$24*Assumptions!$B$25*(Assumptions!$B$5+Assumptions!$B$6)</f>
        <v/>
      </c>
      <c r="E39" s="5">
        <f>C39*Assumptions!$B$26*Assumptions!$B$7</f>
        <v/>
      </c>
      <c r="F39" s="26">
        <f>C39*Assumptions!$B$10</f>
        <v/>
      </c>
      <c r="G39" s="5">
        <f>MAX(F39-F38,0)*Assumptions!$B$11+F39*Assumptions!$B$12</f>
        <v/>
      </c>
      <c r="H39" s="5">
        <f>H38*(1+Assumptions!$B$14/12)+G39</f>
        <v/>
      </c>
      <c r="I39" s="5">
        <f>H39*Assumptions!$B$13/12</f>
        <v/>
      </c>
      <c r="J39" s="5">
        <f>G39*(Assumptions!$B$5+Assumptions!$B$6)</f>
        <v/>
      </c>
      <c r="K39" s="5">
        <f>D39+E39+I39+J39</f>
        <v/>
      </c>
      <c r="L39" s="5">
        <f>C39*(Assumptions!$B$24*Assumptions!$B$25*Assumptions!$B$18+Assumptions!$B$20)+B39*(Assumptions!$B$21+Assumptions!$B$19)+G39*Assumptions!$B$18</f>
        <v/>
      </c>
      <c r="M39" s="5">
        <f>Assumptions!$B$40/12</f>
        <v/>
      </c>
      <c r="N39" s="5">
        <f>K39-L39-M39</f>
        <v/>
      </c>
      <c r="O39" s="5">
        <f>O38+N39</f>
        <v/>
      </c>
      <c r="P39" s="27">
        <f>IF(N39&gt;0,1,0)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VPN — Separate Entity P&amp;L (do not blend)</t>
        </is>
      </c>
    </row>
    <row r="3">
      <c r="A3" s="3" t="inlineStr">
        <is>
          <t>INPUTS</t>
        </is>
      </c>
    </row>
    <row r="4">
      <c r="A4" t="inlineStr">
        <is>
          <t>Price / sub / month</t>
        </is>
      </c>
      <c r="B4" s="19" t="n">
        <v>6</v>
      </c>
      <c r="C4" s="15" t="inlineStr"/>
    </row>
    <row r="5">
      <c r="A5" t="inlineStr">
        <is>
          <t>Merchant-of-Record fee</t>
        </is>
      </c>
      <c r="B5" s="16" t="n">
        <v>0.05</v>
      </c>
      <c r="C5" s="15" t="inlineStr">
        <is>
          <t>offloads VAT/PCI/chargebacks</t>
        </is>
      </c>
    </row>
    <row r="6">
      <c r="A6" t="inlineStr">
        <is>
          <t>CAC per subscriber</t>
        </is>
      </c>
      <c r="B6" s="17" t="n">
        <v>12</v>
      </c>
      <c r="C6" s="15" t="inlineStr"/>
    </row>
    <row r="7">
      <c r="A7" t="inlineStr">
        <is>
          <t>Monthly churn</t>
        </is>
      </c>
      <c r="B7" s="16" t="n">
        <v>0.05</v>
      </c>
      <c r="C7" s="15" t="inlineStr"/>
    </row>
    <row r="8">
      <c r="A8" t="inlineStr">
        <is>
          <t>Server/infra cost / sub / mo</t>
        </is>
      </c>
      <c r="B8" s="19" t="n">
        <v>1.2</v>
      </c>
      <c r="C8" s="15" t="inlineStr"/>
    </row>
    <row r="9">
      <c r="A9" t="inlineStr">
        <is>
          <t>New subs — month 1</t>
        </is>
      </c>
      <c r="B9" s="20" t="n">
        <v>80</v>
      </c>
      <c r="C9" s="15" t="inlineStr"/>
    </row>
    <row r="10">
      <c r="A10" t="inlineStr">
        <is>
          <t>MoM growth in new subs</t>
        </is>
      </c>
      <c r="B10" s="16" t="n">
        <v>0.08</v>
      </c>
      <c r="C10" s="15" t="inlineStr"/>
    </row>
    <row r="11">
      <c r="A11" t="inlineStr">
        <is>
          <t>Fixed annual cost (eng/audit/legal)</t>
        </is>
      </c>
      <c r="B11" s="17" t="n">
        <v>60000</v>
      </c>
      <c r="C11" s="15" t="inlineStr"/>
    </row>
    <row r="13">
      <c r="A13" s="3" t="inlineStr">
        <is>
          <t>3-YEAR P&amp;L (live)</t>
        </is>
      </c>
    </row>
    <row r="14">
      <c r="A14" s="4" t="inlineStr">
        <is>
          <t>Month</t>
        </is>
      </c>
      <c r="B14" s="4" t="inlineStr">
        <is>
          <t>New subs</t>
        </is>
      </c>
      <c r="C14" s="4" t="inlineStr">
        <is>
          <t>Active subs</t>
        </is>
      </c>
      <c r="D14" s="4" t="inlineStr">
        <is>
          <t>Net revenue</t>
        </is>
      </c>
      <c r="E14" s="4" t="inlineStr">
        <is>
          <t>Variable cost</t>
        </is>
      </c>
      <c r="F14" s="4" t="inlineStr">
        <is>
          <t>Fixed</t>
        </is>
      </c>
      <c r="G14" s="4" t="inlineStr">
        <is>
          <t>Op profit</t>
        </is>
      </c>
      <c r="H14" s="4" t="inlineStr">
        <is>
          <t>Cumulative</t>
        </is>
      </c>
    </row>
    <row r="15">
      <c r="A15" t="n">
        <v>1</v>
      </c>
      <c r="B15" s="26">
        <f>'VPN (separate)'!$B$9</f>
        <v/>
      </c>
      <c r="C15" s="26">
        <f>B15</f>
        <v/>
      </c>
      <c r="D15" s="5">
        <f>C15*'VPN (separate)'!$B$4*(1-'VPN (separate)'!$B$5)</f>
        <v/>
      </c>
      <c r="E15" s="5">
        <f>C15*'VPN (separate)'!$B$8+B15*'VPN (separate)'!$B$6</f>
        <v/>
      </c>
      <c r="F15" s="5">
        <f>'VPN (separate)'!$B$11/12</f>
        <v/>
      </c>
      <c r="G15" s="5">
        <f>D15-E15-F15</f>
        <v/>
      </c>
      <c r="H15" s="5">
        <f>G15</f>
        <v/>
      </c>
    </row>
    <row r="16">
      <c r="A16" t="n">
        <v>2</v>
      </c>
      <c r="B16" s="26">
        <f>B15*(1+'VPN (separate)'!$B$10)</f>
        <v/>
      </c>
      <c r="C16" s="26">
        <f>C15*(1-'VPN (separate)'!$B$7)+B16</f>
        <v/>
      </c>
      <c r="D16" s="5">
        <f>C16*'VPN (separate)'!$B$4*(1-'VPN (separate)'!$B$5)</f>
        <v/>
      </c>
      <c r="E16" s="5">
        <f>C16*'VPN (separate)'!$B$8+B16*'VPN (separate)'!$B$6</f>
        <v/>
      </c>
      <c r="F16" s="5">
        <f>'VPN (separate)'!$B$11/12</f>
        <v/>
      </c>
      <c r="G16" s="5">
        <f>D16-E16-F16</f>
        <v/>
      </c>
      <c r="H16" s="5">
        <f>H15+G16</f>
        <v/>
      </c>
    </row>
    <row r="17">
      <c r="A17" t="n">
        <v>3</v>
      </c>
      <c r="B17" s="26">
        <f>B16*(1+'VPN (separate)'!$B$10)</f>
        <v/>
      </c>
      <c r="C17" s="26">
        <f>C16*(1-'VPN (separate)'!$B$7)+B17</f>
        <v/>
      </c>
      <c r="D17" s="5">
        <f>C17*'VPN (separate)'!$B$4*(1-'VPN (separate)'!$B$5)</f>
        <v/>
      </c>
      <c r="E17" s="5">
        <f>C17*'VPN (separate)'!$B$8+B17*'VPN (separate)'!$B$6</f>
        <v/>
      </c>
      <c r="F17" s="5">
        <f>'VPN (separate)'!$B$11/12</f>
        <v/>
      </c>
      <c r="G17" s="5">
        <f>D17-E17-F17</f>
        <v/>
      </c>
      <c r="H17" s="5">
        <f>H16+G17</f>
        <v/>
      </c>
    </row>
    <row r="18">
      <c r="A18" t="n">
        <v>4</v>
      </c>
      <c r="B18" s="26">
        <f>B17*(1+'VPN (separate)'!$B$10)</f>
        <v/>
      </c>
      <c r="C18" s="26">
        <f>C17*(1-'VPN (separate)'!$B$7)+B18</f>
        <v/>
      </c>
      <c r="D18" s="5">
        <f>C18*'VPN (separate)'!$B$4*(1-'VPN (separate)'!$B$5)</f>
        <v/>
      </c>
      <c r="E18" s="5">
        <f>C18*'VPN (separate)'!$B$8+B18*'VPN (separate)'!$B$6</f>
        <v/>
      </c>
      <c r="F18" s="5">
        <f>'VPN (separate)'!$B$11/12</f>
        <v/>
      </c>
      <c r="G18" s="5">
        <f>D18-E18-F18</f>
        <v/>
      </c>
      <c r="H18" s="5">
        <f>H17+G18</f>
        <v/>
      </c>
    </row>
    <row r="19">
      <c r="A19" t="n">
        <v>5</v>
      </c>
      <c r="B19" s="26">
        <f>B18*(1+'VPN (separate)'!$B$10)</f>
        <v/>
      </c>
      <c r="C19" s="26">
        <f>C18*(1-'VPN (separate)'!$B$7)+B19</f>
        <v/>
      </c>
      <c r="D19" s="5">
        <f>C19*'VPN (separate)'!$B$4*(1-'VPN (separate)'!$B$5)</f>
        <v/>
      </c>
      <c r="E19" s="5">
        <f>C19*'VPN (separate)'!$B$8+B19*'VPN (separate)'!$B$6</f>
        <v/>
      </c>
      <c r="F19" s="5">
        <f>'VPN (separate)'!$B$11/12</f>
        <v/>
      </c>
      <c r="G19" s="5">
        <f>D19-E19-F19</f>
        <v/>
      </c>
      <c r="H19" s="5">
        <f>H18+G19</f>
        <v/>
      </c>
    </row>
    <row r="20">
      <c r="A20" t="n">
        <v>6</v>
      </c>
      <c r="B20" s="26">
        <f>B19*(1+'VPN (separate)'!$B$10)</f>
        <v/>
      </c>
      <c r="C20" s="26">
        <f>C19*(1-'VPN (separate)'!$B$7)+B20</f>
        <v/>
      </c>
      <c r="D20" s="5">
        <f>C20*'VPN (separate)'!$B$4*(1-'VPN (separate)'!$B$5)</f>
        <v/>
      </c>
      <c r="E20" s="5">
        <f>C20*'VPN (separate)'!$B$8+B20*'VPN (separate)'!$B$6</f>
        <v/>
      </c>
      <c r="F20" s="5">
        <f>'VPN (separate)'!$B$11/12</f>
        <v/>
      </c>
      <c r="G20" s="5">
        <f>D20-E20-F20</f>
        <v/>
      </c>
      <c r="H20" s="5">
        <f>H19+G20</f>
        <v/>
      </c>
    </row>
    <row r="21">
      <c r="A21" t="n">
        <v>7</v>
      </c>
      <c r="B21" s="26">
        <f>B20*(1+'VPN (separate)'!$B$10)</f>
        <v/>
      </c>
      <c r="C21" s="26">
        <f>C20*(1-'VPN (separate)'!$B$7)+B21</f>
        <v/>
      </c>
      <c r="D21" s="5">
        <f>C21*'VPN (separate)'!$B$4*(1-'VPN (separate)'!$B$5)</f>
        <v/>
      </c>
      <c r="E21" s="5">
        <f>C21*'VPN (separate)'!$B$8+B21*'VPN (separate)'!$B$6</f>
        <v/>
      </c>
      <c r="F21" s="5">
        <f>'VPN (separate)'!$B$11/12</f>
        <v/>
      </c>
      <c r="G21" s="5">
        <f>D21-E21-F21</f>
        <v/>
      </c>
      <c r="H21" s="5">
        <f>H20+G21</f>
        <v/>
      </c>
    </row>
    <row r="22">
      <c r="A22" t="n">
        <v>8</v>
      </c>
      <c r="B22" s="26">
        <f>B21*(1+'VPN (separate)'!$B$10)</f>
        <v/>
      </c>
      <c r="C22" s="26">
        <f>C21*(1-'VPN (separate)'!$B$7)+B22</f>
        <v/>
      </c>
      <c r="D22" s="5">
        <f>C22*'VPN (separate)'!$B$4*(1-'VPN (separate)'!$B$5)</f>
        <v/>
      </c>
      <c r="E22" s="5">
        <f>C22*'VPN (separate)'!$B$8+B22*'VPN (separate)'!$B$6</f>
        <v/>
      </c>
      <c r="F22" s="5">
        <f>'VPN (separate)'!$B$11/12</f>
        <v/>
      </c>
      <c r="G22" s="5">
        <f>D22-E22-F22</f>
        <v/>
      </c>
      <c r="H22" s="5">
        <f>H21+G22</f>
        <v/>
      </c>
    </row>
    <row r="23">
      <c r="A23" t="n">
        <v>9</v>
      </c>
      <c r="B23" s="26">
        <f>B22*(1+'VPN (separate)'!$B$10)</f>
        <v/>
      </c>
      <c r="C23" s="26">
        <f>C22*(1-'VPN (separate)'!$B$7)+B23</f>
        <v/>
      </c>
      <c r="D23" s="5">
        <f>C23*'VPN (separate)'!$B$4*(1-'VPN (separate)'!$B$5)</f>
        <v/>
      </c>
      <c r="E23" s="5">
        <f>C23*'VPN (separate)'!$B$8+B23*'VPN (separate)'!$B$6</f>
        <v/>
      </c>
      <c r="F23" s="5">
        <f>'VPN (separate)'!$B$11/12</f>
        <v/>
      </c>
      <c r="G23" s="5">
        <f>D23-E23-F23</f>
        <v/>
      </c>
      <c r="H23" s="5">
        <f>H22+G23</f>
        <v/>
      </c>
    </row>
    <row r="24">
      <c r="A24" t="n">
        <v>10</v>
      </c>
      <c r="B24" s="26">
        <f>B23*(1+'VPN (separate)'!$B$10)</f>
        <v/>
      </c>
      <c r="C24" s="26">
        <f>C23*(1-'VPN (separate)'!$B$7)+B24</f>
        <v/>
      </c>
      <c r="D24" s="5">
        <f>C24*'VPN (separate)'!$B$4*(1-'VPN (separate)'!$B$5)</f>
        <v/>
      </c>
      <c r="E24" s="5">
        <f>C24*'VPN (separate)'!$B$8+B24*'VPN (separate)'!$B$6</f>
        <v/>
      </c>
      <c r="F24" s="5">
        <f>'VPN (separate)'!$B$11/12</f>
        <v/>
      </c>
      <c r="G24" s="5">
        <f>D24-E24-F24</f>
        <v/>
      </c>
      <c r="H24" s="5">
        <f>H23+G24</f>
        <v/>
      </c>
    </row>
    <row r="25">
      <c r="A25" t="n">
        <v>11</v>
      </c>
      <c r="B25" s="26">
        <f>B24*(1+'VPN (separate)'!$B$10)</f>
        <v/>
      </c>
      <c r="C25" s="26">
        <f>C24*(1-'VPN (separate)'!$B$7)+B25</f>
        <v/>
      </c>
      <c r="D25" s="5">
        <f>C25*'VPN (separate)'!$B$4*(1-'VPN (separate)'!$B$5)</f>
        <v/>
      </c>
      <c r="E25" s="5">
        <f>C25*'VPN (separate)'!$B$8+B25*'VPN (separate)'!$B$6</f>
        <v/>
      </c>
      <c r="F25" s="5">
        <f>'VPN (separate)'!$B$11/12</f>
        <v/>
      </c>
      <c r="G25" s="5">
        <f>D25-E25-F25</f>
        <v/>
      </c>
      <c r="H25" s="5">
        <f>H24+G25</f>
        <v/>
      </c>
    </row>
    <row r="26">
      <c r="A26" t="n">
        <v>12</v>
      </c>
      <c r="B26" s="26">
        <f>B25*(1+'VPN (separate)'!$B$10)</f>
        <v/>
      </c>
      <c r="C26" s="26">
        <f>C25*(1-'VPN (separate)'!$B$7)+B26</f>
        <v/>
      </c>
      <c r="D26" s="5">
        <f>C26*'VPN (separate)'!$B$4*(1-'VPN (separate)'!$B$5)</f>
        <v/>
      </c>
      <c r="E26" s="5">
        <f>C26*'VPN (separate)'!$B$8+B26*'VPN (separate)'!$B$6</f>
        <v/>
      </c>
      <c r="F26" s="5">
        <f>'VPN (separate)'!$B$11/12</f>
        <v/>
      </c>
      <c r="G26" s="5">
        <f>D26-E26-F26</f>
        <v/>
      </c>
      <c r="H26" s="5">
        <f>H25+G26</f>
        <v/>
      </c>
    </row>
    <row r="27">
      <c r="A27" t="n">
        <v>13</v>
      </c>
      <c r="B27" s="26">
        <f>B26*(1+'VPN (separate)'!$B$10)</f>
        <v/>
      </c>
      <c r="C27" s="26">
        <f>C26*(1-'VPN (separate)'!$B$7)+B27</f>
        <v/>
      </c>
      <c r="D27" s="5">
        <f>C27*'VPN (separate)'!$B$4*(1-'VPN (separate)'!$B$5)</f>
        <v/>
      </c>
      <c r="E27" s="5">
        <f>C27*'VPN (separate)'!$B$8+B27*'VPN (separate)'!$B$6</f>
        <v/>
      </c>
      <c r="F27" s="5">
        <f>'VPN (separate)'!$B$11/12</f>
        <v/>
      </c>
      <c r="G27" s="5">
        <f>D27-E27-F27</f>
        <v/>
      </c>
      <c r="H27" s="5">
        <f>H26+G27</f>
        <v/>
      </c>
    </row>
    <row r="28">
      <c r="A28" t="n">
        <v>14</v>
      </c>
      <c r="B28" s="26">
        <f>B27*(1+'VPN (separate)'!$B$10)</f>
        <v/>
      </c>
      <c r="C28" s="26">
        <f>C27*(1-'VPN (separate)'!$B$7)+B28</f>
        <v/>
      </c>
      <c r="D28" s="5">
        <f>C28*'VPN (separate)'!$B$4*(1-'VPN (separate)'!$B$5)</f>
        <v/>
      </c>
      <c r="E28" s="5">
        <f>C28*'VPN (separate)'!$B$8+B28*'VPN (separate)'!$B$6</f>
        <v/>
      </c>
      <c r="F28" s="5">
        <f>'VPN (separate)'!$B$11/12</f>
        <v/>
      </c>
      <c r="G28" s="5">
        <f>D28-E28-F28</f>
        <v/>
      </c>
      <c r="H28" s="5">
        <f>H27+G28</f>
        <v/>
      </c>
    </row>
    <row r="29">
      <c r="A29" t="n">
        <v>15</v>
      </c>
      <c r="B29" s="26">
        <f>B28*(1+'VPN (separate)'!$B$10)</f>
        <v/>
      </c>
      <c r="C29" s="26">
        <f>C28*(1-'VPN (separate)'!$B$7)+B29</f>
        <v/>
      </c>
      <c r="D29" s="5">
        <f>C29*'VPN (separate)'!$B$4*(1-'VPN (separate)'!$B$5)</f>
        <v/>
      </c>
      <c r="E29" s="5">
        <f>C29*'VPN (separate)'!$B$8+B29*'VPN (separate)'!$B$6</f>
        <v/>
      </c>
      <c r="F29" s="5">
        <f>'VPN (separate)'!$B$11/12</f>
        <v/>
      </c>
      <c r="G29" s="5">
        <f>D29-E29-F29</f>
        <v/>
      </c>
      <c r="H29" s="5">
        <f>H28+G29</f>
        <v/>
      </c>
    </row>
    <row r="30">
      <c r="A30" t="n">
        <v>16</v>
      </c>
      <c r="B30" s="26">
        <f>B29*(1+'VPN (separate)'!$B$10)</f>
        <v/>
      </c>
      <c r="C30" s="26">
        <f>C29*(1-'VPN (separate)'!$B$7)+B30</f>
        <v/>
      </c>
      <c r="D30" s="5">
        <f>C30*'VPN (separate)'!$B$4*(1-'VPN (separate)'!$B$5)</f>
        <v/>
      </c>
      <c r="E30" s="5">
        <f>C30*'VPN (separate)'!$B$8+B30*'VPN (separate)'!$B$6</f>
        <v/>
      </c>
      <c r="F30" s="5">
        <f>'VPN (separate)'!$B$11/12</f>
        <v/>
      </c>
      <c r="G30" s="5">
        <f>D30-E30-F30</f>
        <v/>
      </c>
      <c r="H30" s="5">
        <f>H29+G30</f>
        <v/>
      </c>
    </row>
    <row r="31">
      <c r="A31" t="n">
        <v>17</v>
      </c>
      <c r="B31" s="26">
        <f>B30*(1+'VPN (separate)'!$B$10)</f>
        <v/>
      </c>
      <c r="C31" s="26">
        <f>C30*(1-'VPN (separate)'!$B$7)+B31</f>
        <v/>
      </c>
      <c r="D31" s="5">
        <f>C31*'VPN (separate)'!$B$4*(1-'VPN (separate)'!$B$5)</f>
        <v/>
      </c>
      <c r="E31" s="5">
        <f>C31*'VPN (separate)'!$B$8+B31*'VPN (separate)'!$B$6</f>
        <v/>
      </c>
      <c r="F31" s="5">
        <f>'VPN (separate)'!$B$11/12</f>
        <v/>
      </c>
      <c r="G31" s="5">
        <f>D31-E31-F31</f>
        <v/>
      </c>
      <c r="H31" s="5">
        <f>H30+G31</f>
        <v/>
      </c>
    </row>
    <row r="32">
      <c r="A32" t="n">
        <v>18</v>
      </c>
      <c r="B32" s="26">
        <f>B31*(1+'VPN (separate)'!$B$10)</f>
        <v/>
      </c>
      <c r="C32" s="26">
        <f>C31*(1-'VPN (separate)'!$B$7)+B32</f>
        <v/>
      </c>
      <c r="D32" s="5">
        <f>C32*'VPN (separate)'!$B$4*(1-'VPN (separate)'!$B$5)</f>
        <v/>
      </c>
      <c r="E32" s="5">
        <f>C32*'VPN (separate)'!$B$8+B32*'VPN (separate)'!$B$6</f>
        <v/>
      </c>
      <c r="F32" s="5">
        <f>'VPN (separate)'!$B$11/12</f>
        <v/>
      </c>
      <c r="G32" s="5">
        <f>D32-E32-F32</f>
        <v/>
      </c>
      <c r="H32" s="5">
        <f>H31+G32</f>
        <v/>
      </c>
    </row>
    <row r="33">
      <c r="A33" t="n">
        <v>19</v>
      </c>
      <c r="B33" s="26">
        <f>B32*(1+'VPN (separate)'!$B$10)</f>
        <v/>
      </c>
      <c r="C33" s="26">
        <f>C32*(1-'VPN (separate)'!$B$7)+B33</f>
        <v/>
      </c>
      <c r="D33" s="5">
        <f>C33*'VPN (separate)'!$B$4*(1-'VPN (separate)'!$B$5)</f>
        <v/>
      </c>
      <c r="E33" s="5">
        <f>C33*'VPN (separate)'!$B$8+B33*'VPN (separate)'!$B$6</f>
        <v/>
      </c>
      <c r="F33" s="5">
        <f>'VPN (separate)'!$B$11/12</f>
        <v/>
      </c>
      <c r="G33" s="5">
        <f>D33-E33-F33</f>
        <v/>
      </c>
      <c r="H33" s="5">
        <f>H32+G33</f>
        <v/>
      </c>
    </row>
    <row r="34">
      <c r="A34" t="n">
        <v>20</v>
      </c>
      <c r="B34" s="26">
        <f>B33*(1+'VPN (separate)'!$B$10)</f>
        <v/>
      </c>
      <c r="C34" s="26">
        <f>C33*(1-'VPN (separate)'!$B$7)+B34</f>
        <v/>
      </c>
      <c r="D34" s="5">
        <f>C34*'VPN (separate)'!$B$4*(1-'VPN (separate)'!$B$5)</f>
        <v/>
      </c>
      <c r="E34" s="5">
        <f>C34*'VPN (separate)'!$B$8+B34*'VPN (separate)'!$B$6</f>
        <v/>
      </c>
      <c r="F34" s="5">
        <f>'VPN (separate)'!$B$11/12</f>
        <v/>
      </c>
      <c r="G34" s="5">
        <f>D34-E34-F34</f>
        <v/>
      </c>
      <c r="H34" s="5">
        <f>H33+G34</f>
        <v/>
      </c>
    </row>
    <row r="35">
      <c r="A35" t="n">
        <v>21</v>
      </c>
      <c r="B35" s="26">
        <f>B34*(1+'VPN (separate)'!$B$10)</f>
        <v/>
      </c>
      <c r="C35" s="26">
        <f>C34*(1-'VPN (separate)'!$B$7)+B35</f>
        <v/>
      </c>
      <c r="D35" s="5">
        <f>C35*'VPN (separate)'!$B$4*(1-'VPN (separate)'!$B$5)</f>
        <v/>
      </c>
      <c r="E35" s="5">
        <f>C35*'VPN (separate)'!$B$8+B35*'VPN (separate)'!$B$6</f>
        <v/>
      </c>
      <c r="F35" s="5">
        <f>'VPN (separate)'!$B$11/12</f>
        <v/>
      </c>
      <c r="G35" s="5">
        <f>D35-E35-F35</f>
        <v/>
      </c>
      <c r="H35" s="5">
        <f>H34+G35</f>
        <v/>
      </c>
    </row>
    <row r="36">
      <c r="A36" t="n">
        <v>22</v>
      </c>
      <c r="B36" s="26">
        <f>B35*(1+'VPN (separate)'!$B$10)</f>
        <v/>
      </c>
      <c r="C36" s="26">
        <f>C35*(1-'VPN (separate)'!$B$7)+B36</f>
        <v/>
      </c>
      <c r="D36" s="5">
        <f>C36*'VPN (separate)'!$B$4*(1-'VPN (separate)'!$B$5)</f>
        <v/>
      </c>
      <c r="E36" s="5">
        <f>C36*'VPN (separate)'!$B$8+B36*'VPN (separate)'!$B$6</f>
        <v/>
      </c>
      <c r="F36" s="5">
        <f>'VPN (separate)'!$B$11/12</f>
        <v/>
      </c>
      <c r="G36" s="5">
        <f>D36-E36-F36</f>
        <v/>
      </c>
      <c r="H36" s="5">
        <f>H35+G36</f>
        <v/>
      </c>
    </row>
    <row r="37">
      <c r="A37" t="n">
        <v>23</v>
      </c>
      <c r="B37" s="26">
        <f>B36*(1+'VPN (separate)'!$B$10)</f>
        <v/>
      </c>
      <c r="C37" s="26">
        <f>C36*(1-'VPN (separate)'!$B$7)+B37</f>
        <v/>
      </c>
      <c r="D37" s="5">
        <f>C37*'VPN (separate)'!$B$4*(1-'VPN (separate)'!$B$5)</f>
        <v/>
      </c>
      <c r="E37" s="5">
        <f>C37*'VPN (separate)'!$B$8+B37*'VPN (separate)'!$B$6</f>
        <v/>
      </c>
      <c r="F37" s="5">
        <f>'VPN (separate)'!$B$11/12</f>
        <v/>
      </c>
      <c r="G37" s="5">
        <f>D37-E37-F37</f>
        <v/>
      </c>
      <c r="H37" s="5">
        <f>H36+G37</f>
        <v/>
      </c>
    </row>
    <row r="38">
      <c r="A38" t="n">
        <v>24</v>
      </c>
      <c r="B38" s="26">
        <f>B37*(1+'VPN (separate)'!$B$10)</f>
        <v/>
      </c>
      <c r="C38" s="26">
        <f>C37*(1-'VPN (separate)'!$B$7)+B38</f>
        <v/>
      </c>
      <c r="D38" s="5">
        <f>C38*'VPN (separate)'!$B$4*(1-'VPN (separate)'!$B$5)</f>
        <v/>
      </c>
      <c r="E38" s="5">
        <f>C38*'VPN (separate)'!$B$8+B38*'VPN (separate)'!$B$6</f>
        <v/>
      </c>
      <c r="F38" s="5">
        <f>'VPN (separate)'!$B$11/12</f>
        <v/>
      </c>
      <c r="G38" s="5">
        <f>D38-E38-F38</f>
        <v/>
      </c>
      <c r="H38" s="5">
        <f>H37+G38</f>
        <v/>
      </c>
    </row>
    <row r="39">
      <c r="A39" t="n">
        <v>25</v>
      </c>
      <c r="B39" s="26">
        <f>B38*(1+'VPN (separate)'!$B$10)</f>
        <v/>
      </c>
      <c r="C39" s="26">
        <f>C38*(1-'VPN (separate)'!$B$7)+B39</f>
        <v/>
      </c>
      <c r="D39" s="5">
        <f>C39*'VPN (separate)'!$B$4*(1-'VPN (separate)'!$B$5)</f>
        <v/>
      </c>
      <c r="E39" s="5">
        <f>C39*'VPN (separate)'!$B$8+B39*'VPN (separate)'!$B$6</f>
        <v/>
      </c>
      <c r="F39" s="5">
        <f>'VPN (separate)'!$B$11/12</f>
        <v/>
      </c>
      <c r="G39" s="5">
        <f>D39-E39-F39</f>
        <v/>
      </c>
      <c r="H39" s="5">
        <f>H38+G39</f>
        <v/>
      </c>
    </row>
    <row r="40">
      <c r="A40" t="n">
        <v>26</v>
      </c>
      <c r="B40" s="26">
        <f>B39*(1+'VPN (separate)'!$B$10)</f>
        <v/>
      </c>
      <c r="C40" s="26">
        <f>C39*(1-'VPN (separate)'!$B$7)+B40</f>
        <v/>
      </c>
      <c r="D40" s="5">
        <f>C40*'VPN (separate)'!$B$4*(1-'VPN (separate)'!$B$5)</f>
        <v/>
      </c>
      <c r="E40" s="5">
        <f>C40*'VPN (separate)'!$B$8+B40*'VPN (separate)'!$B$6</f>
        <v/>
      </c>
      <c r="F40" s="5">
        <f>'VPN (separate)'!$B$11/12</f>
        <v/>
      </c>
      <c r="G40" s="5">
        <f>D40-E40-F40</f>
        <v/>
      </c>
      <c r="H40" s="5">
        <f>H39+G40</f>
        <v/>
      </c>
    </row>
    <row r="41">
      <c r="A41" t="n">
        <v>27</v>
      </c>
      <c r="B41" s="26">
        <f>B40*(1+'VPN (separate)'!$B$10)</f>
        <v/>
      </c>
      <c r="C41" s="26">
        <f>C40*(1-'VPN (separate)'!$B$7)+B41</f>
        <v/>
      </c>
      <c r="D41" s="5">
        <f>C41*'VPN (separate)'!$B$4*(1-'VPN (separate)'!$B$5)</f>
        <v/>
      </c>
      <c r="E41" s="5">
        <f>C41*'VPN (separate)'!$B$8+B41*'VPN (separate)'!$B$6</f>
        <v/>
      </c>
      <c r="F41" s="5">
        <f>'VPN (separate)'!$B$11/12</f>
        <v/>
      </c>
      <c r="G41" s="5">
        <f>D41-E41-F41</f>
        <v/>
      </c>
      <c r="H41" s="5">
        <f>H40+G41</f>
        <v/>
      </c>
    </row>
    <row r="42">
      <c r="A42" t="n">
        <v>28</v>
      </c>
      <c r="B42" s="26">
        <f>B41*(1+'VPN (separate)'!$B$10)</f>
        <v/>
      </c>
      <c r="C42" s="26">
        <f>C41*(1-'VPN (separate)'!$B$7)+B42</f>
        <v/>
      </c>
      <c r="D42" s="5">
        <f>C42*'VPN (separate)'!$B$4*(1-'VPN (separate)'!$B$5)</f>
        <v/>
      </c>
      <c r="E42" s="5">
        <f>C42*'VPN (separate)'!$B$8+B42*'VPN (separate)'!$B$6</f>
        <v/>
      </c>
      <c r="F42" s="5">
        <f>'VPN (separate)'!$B$11/12</f>
        <v/>
      </c>
      <c r="G42" s="5">
        <f>D42-E42-F42</f>
        <v/>
      </c>
      <c r="H42" s="5">
        <f>H41+G42</f>
        <v/>
      </c>
    </row>
    <row r="43">
      <c r="A43" t="n">
        <v>29</v>
      </c>
      <c r="B43" s="26">
        <f>B42*(1+'VPN (separate)'!$B$10)</f>
        <v/>
      </c>
      <c r="C43" s="26">
        <f>C42*(1-'VPN (separate)'!$B$7)+B43</f>
        <v/>
      </c>
      <c r="D43" s="5">
        <f>C43*'VPN (separate)'!$B$4*(1-'VPN (separate)'!$B$5)</f>
        <v/>
      </c>
      <c r="E43" s="5">
        <f>C43*'VPN (separate)'!$B$8+B43*'VPN (separate)'!$B$6</f>
        <v/>
      </c>
      <c r="F43" s="5">
        <f>'VPN (separate)'!$B$11/12</f>
        <v/>
      </c>
      <c r="G43" s="5">
        <f>D43-E43-F43</f>
        <v/>
      </c>
      <c r="H43" s="5">
        <f>H42+G43</f>
        <v/>
      </c>
    </row>
    <row r="44">
      <c r="A44" t="n">
        <v>30</v>
      </c>
      <c r="B44" s="26">
        <f>B43*(1+'VPN (separate)'!$B$10)</f>
        <v/>
      </c>
      <c r="C44" s="26">
        <f>C43*(1-'VPN (separate)'!$B$7)+B44</f>
        <v/>
      </c>
      <c r="D44" s="5">
        <f>C44*'VPN (separate)'!$B$4*(1-'VPN (separate)'!$B$5)</f>
        <v/>
      </c>
      <c r="E44" s="5">
        <f>C44*'VPN (separate)'!$B$8+B44*'VPN (separate)'!$B$6</f>
        <v/>
      </c>
      <c r="F44" s="5">
        <f>'VPN (separate)'!$B$11/12</f>
        <v/>
      </c>
      <c r="G44" s="5">
        <f>D44-E44-F44</f>
        <v/>
      </c>
      <c r="H44" s="5">
        <f>H43+G44</f>
        <v/>
      </c>
    </row>
    <row r="45">
      <c r="A45" t="n">
        <v>31</v>
      </c>
      <c r="B45" s="26">
        <f>B44*(1+'VPN (separate)'!$B$10)</f>
        <v/>
      </c>
      <c r="C45" s="26">
        <f>C44*(1-'VPN (separate)'!$B$7)+B45</f>
        <v/>
      </c>
      <c r="D45" s="5">
        <f>C45*'VPN (separate)'!$B$4*(1-'VPN (separate)'!$B$5)</f>
        <v/>
      </c>
      <c r="E45" s="5">
        <f>C45*'VPN (separate)'!$B$8+B45*'VPN (separate)'!$B$6</f>
        <v/>
      </c>
      <c r="F45" s="5">
        <f>'VPN (separate)'!$B$11/12</f>
        <v/>
      </c>
      <c r="G45" s="5">
        <f>D45-E45-F45</f>
        <v/>
      </c>
      <c r="H45" s="5">
        <f>H44+G45</f>
        <v/>
      </c>
    </row>
    <row r="46">
      <c r="A46" t="n">
        <v>32</v>
      </c>
      <c r="B46" s="26">
        <f>B45*(1+'VPN (separate)'!$B$10)</f>
        <v/>
      </c>
      <c r="C46" s="26">
        <f>C45*(1-'VPN (separate)'!$B$7)+B46</f>
        <v/>
      </c>
      <c r="D46" s="5">
        <f>C46*'VPN (separate)'!$B$4*(1-'VPN (separate)'!$B$5)</f>
        <v/>
      </c>
      <c r="E46" s="5">
        <f>C46*'VPN (separate)'!$B$8+B46*'VPN (separate)'!$B$6</f>
        <v/>
      </c>
      <c r="F46" s="5">
        <f>'VPN (separate)'!$B$11/12</f>
        <v/>
      </c>
      <c r="G46" s="5">
        <f>D46-E46-F46</f>
        <v/>
      </c>
      <c r="H46" s="5">
        <f>H45+G46</f>
        <v/>
      </c>
    </row>
    <row r="47">
      <c r="A47" t="n">
        <v>33</v>
      </c>
      <c r="B47" s="26">
        <f>B46*(1+'VPN (separate)'!$B$10)</f>
        <v/>
      </c>
      <c r="C47" s="26">
        <f>C46*(1-'VPN (separate)'!$B$7)+B47</f>
        <v/>
      </c>
      <c r="D47" s="5">
        <f>C47*'VPN (separate)'!$B$4*(1-'VPN (separate)'!$B$5)</f>
        <v/>
      </c>
      <c r="E47" s="5">
        <f>C47*'VPN (separate)'!$B$8+B47*'VPN (separate)'!$B$6</f>
        <v/>
      </c>
      <c r="F47" s="5">
        <f>'VPN (separate)'!$B$11/12</f>
        <v/>
      </c>
      <c r="G47" s="5">
        <f>D47-E47-F47</f>
        <v/>
      </c>
      <c r="H47" s="5">
        <f>H46+G47</f>
        <v/>
      </c>
    </row>
    <row r="48">
      <c r="A48" t="n">
        <v>34</v>
      </c>
      <c r="B48" s="26">
        <f>B47*(1+'VPN (separate)'!$B$10)</f>
        <v/>
      </c>
      <c r="C48" s="26">
        <f>C47*(1-'VPN (separate)'!$B$7)+B48</f>
        <v/>
      </c>
      <c r="D48" s="5">
        <f>C48*'VPN (separate)'!$B$4*(1-'VPN (separate)'!$B$5)</f>
        <v/>
      </c>
      <c r="E48" s="5">
        <f>C48*'VPN (separate)'!$B$8+B48*'VPN (separate)'!$B$6</f>
        <v/>
      </c>
      <c r="F48" s="5">
        <f>'VPN (separate)'!$B$11/12</f>
        <v/>
      </c>
      <c r="G48" s="5">
        <f>D48-E48-F48</f>
        <v/>
      </c>
      <c r="H48" s="5">
        <f>H47+G48</f>
        <v/>
      </c>
    </row>
    <row r="49">
      <c r="A49" t="n">
        <v>35</v>
      </c>
      <c r="B49" s="26">
        <f>B48*(1+'VPN (separate)'!$B$10)</f>
        <v/>
      </c>
      <c r="C49" s="26">
        <f>C48*(1-'VPN (separate)'!$B$7)+B49</f>
        <v/>
      </c>
      <c r="D49" s="5">
        <f>C49*'VPN (separate)'!$B$4*(1-'VPN (separate)'!$B$5)</f>
        <v/>
      </c>
      <c r="E49" s="5">
        <f>C49*'VPN (separate)'!$B$8+B49*'VPN (separate)'!$B$6</f>
        <v/>
      </c>
      <c r="F49" s="5">
        <f>'VPN (separate)'!$B$11/12</f>
        <v/>
      </c>
      <c r="G49" s="5">
        <f>D49-E49-F49</f>
        <v/>
      </c>
      <c r="H49" s="5">
        <f>H48+G49</f>
        <v/>
      </c>
    </row>
    <row r="50">
      <c r="A50" t="n">
        <v>36</v>
      </c>
      <c r="B50" s="26">
        <f>B49*(1+'VPN (separate)'!$B$10)</f>
        <v/>
      </c>
      <c r="C50" s="26">
        <f>C49*(1-'VPN (separate)'!$B$7)+B50</f>
        <v/>
      </c>
      <c r="D50" s="5">
        <f>C50*'VPN (separate)'!$B$4*(1-'VPN (separate)'!$B$5)</f>
        <v/>
      </c>
      <c r="E50" s="5">
        <f>C50*'VPN (separate)'!$B$8+B50*'VPN (separate)'!$B$6</f>
        <v/>
      </c>
      <c r="F50" s="5">
        <f>'VPN (separate)'!$B$11/12</f>
        <v/>
      </c>
      <c r="G50" s="5">
        <f>D50-E50-F50</f>
        <v/>
      </c>
      <c r="H50" s="5">
        <f>H49+G50</f>
        <v/>
      </c>
    </row>
    <row r="52">
      <c r="A52" s="7" t="inlineStr">
        <is>
          <t>Year-1 op profit</t>
        </is>
      </c>
      <c r="B52" s="5">
        <f>SUM(G15:G26)</f>
        <v/>
      </c>
    </row>
    <row r="53">
      <c r="A53" s="7" t="inlineStr">
        <is>
          <t>Year-3 op profit</t>
        </is>
      </c>
      <c r="B53" s="5">
        <f>SUM(G39:G50)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2026-06-24T17:58:27Z</dcterms:created>
  <dcterms:modified xmlns:dcterms="http://purl.org/dc/terms/" xmlns:xsi="http://www.w3.org/2001/XMLSchema-instance" xsi:type="dcterms:W3CDTF">2026-06-24T17:58:27Z</dcterms:modified>
</cp:coreProperties>
</file>